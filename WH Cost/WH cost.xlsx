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690"/>
  </bookViews>
  <sheets>
    <sheet name="WAHL WH fee" sheetId="5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<sst xmlns="http://schemas.openxmlformats.org/spreadsheetml/2006/main" count="56" uniqueCount="45">
  <si>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Own</t>
  </si>
  <si>
    <t>From</t>
  </si>
  <si>
    <t>To</t>
  </si>
  <si>
    <t>Method</t>
  </si>
  <si>
    <t>Import Truck times</t>
  </si>
  <si>
    <t>Export Truck times</t>
  </si>
  <si>
    <t>WH type</t>
  </si>
  <si>
    <t>pallet</t>
  </si>
  <si>
    <t>CBM</t>
  </si>
  <si>
    <t>TOTAL Cost(HKD)</t>
  </si>
  <si>
    <t>Month Qty</t>
  </si>
  <si>
    <t>total invoice value (RMB)</t>
  </si>
  <si>
    <t>HK3PL RM storage fee /Month</t>
  </si>
  <si>
    <t>HK3PL FG storage fee /Month</t>
  </si>
  <si>
    <t>Humen bonded storage fee /Month</t>
  </si>
  <si>
    <t>import customs declaration fee</t>
  </si>
  <si>
    <t>Export customs declaration fee</t>
  </si>
  <si>
    <t>in&amp;out handling fee</t>
  </si>
  <si>
    <t>loading fee</t>
  </si>
  <si>
    <t>unloading fee</t>
  </si>
  <si>
    <t>inbound ruck fee</t>
  </si>
  <si>
    <t>outbound truck fee</t>
  </si>
  <si>
    <t>测试收费类型</t>
  </si>
  <si>
    <t>transp.insurance fee</t>
  </si>
  <si>
    <t xml:space="preserve">w/h storage insurance </t>
  </si>
  <si>
    <t>Standard</t>
  </si>
  <si>
    <t>65000HKD/Month</t>
  </si>
  <si>
    <t>60HKD/CBM/WEEK</t>
  </si>
  <si>
    <t>2.3RMB/CBM/day</t>
  </si>
  <si>
    <t>350 RMB/time</t>
  </si>
  <si>
    <t>30 RMB/pallet</t>
  </si>
  <si>
    <t>25 RMB/pallet</t>
  </si>
  <si>
    <t>900/time</t>
  </si>
  <si>
    <t>1700/time</t>
  </si>
  <si>
    <t>0.1% of cargos value invoice value</t>
  </si>
  <si>
    <t>0.6% of cargos value</t>
  </si>
  <si>
    <t>WAHL</t>
  </si>
  <si>
    <t>WADG</t>
  </si>
  <si>
    <t>Humen</t>
  </si>
  <si>
    <t>WH Service</t>
  </si>
  <si>
    <t>Customer</t>
  </si>
  <si>
    <t>Vendor</t>
  </si>
  <si>
    <t>HK3PL</t>
  </si>
  <si>
    <t>Import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</si>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</sst>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49" applyAlignment="1">
      <alignment wrapText="1"/>
    </xf>
    <xf numFmtId="0" fontId="0" fillId="0" borderId="0" xfId="49"/>
    <xf numFmtId="176" fontId="0" fillId="0" borderId="0" xfId="50" applyNumberFormat="1" applyFont="1" applyAlignment="1"/>
    <xf numFmtId="176" fontId="0" fillId="0" borderId="0" xfId="50" applyNumberFormat="1" applyFont="1" applyFill="1" applyAlignment="1"/>
    <xf numFmtId="0" fontId="0" fillId="2" borderId="1" xfId="49" applyFill="1" applyBorder="1" applyAlignment="1">
      <alignment wrapText="1"/>
    </xf>
    <xf numFmtId="176" fontId="0" fillId="2" borderId="2" xfId="50" applyNumberFormat="1" applyFont="1" applyFill="1" applyBorder="1" applyAlignment="1">
      <alignment wrapText="1"/>
    </xf>
    <xf numFmtId="0" fontId="0" fillId="2" borderId="2" xfId="49" applyFill="1" applyBorder="1" applyAlignment="1">
      <alignment wrapText="1"/>
    </xf>
    <xf numFmtId="0" fontId="0" fillId="0" borderId="1" xfId="49" applyBorder="1"/>
    <xf numFmtId="176" fontId="0" fillId="0" borderId="2" xfId="50" applyNumberFormat="1" applyFont="1" applyBorder="1" applyAlignment="1"/>
    <xf numFmtId="0" fontId="0" fillId="0" borderId="2" xfId="49" applyBorder="1"/>
    <xf numFmtId="176" fontId="0" fillId="0" borderId="2" xfId="50" applyNumberFormat="1" applyFont="1" applyFill="1" applyBorder="1" applyAlignment="1"/>
    <xf numFmtId="0" fontId="1" fillId="3" borderId="1" xfId="49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pane xSplit="10" ySplit="3" topLeftCell="K4" activePane="bottomRight" state="frozen"/>
      <selection/>
      <selection pane="topRight"/>
      <selection pane="bottomLeft"/>
      <selection pane="bottomRight" activeCell="H14" sqref="H14"/>
    </sheetView>
  </sheetViews>
  <sheetFormatPr defaultColWidth="9.45454545454546" defaultRowHeight="14" outlineLevelRow="6"/>
  <cols>
    <col min="1" max="1" width="9.63636363636364" style="2" customWidth="1"/>
    <col min="2" max="2" width="7.09090909090909" style="2" customWidth="1"/>
    <col min="3" max="3" width="8.36363636363636" style="2" customWidth="1"/>
    <col min="4" max="4" width="10.9090909090909" style="2" customWidth="1"/>
    <col min="5" max="5" width="12.3636363636364" style="2" customWidth="1"/>
    <col min="6" max="7" width="10.6363636363636" style="2" customWidth="1"/>
    <col min="8" max="8" width="10.4545454545455" style="2" customWidth="1"/>
    <col min="9" max="9" width="5.36363636363636" style="2" customWidth="1"/>
    <col min="10" max="10" width="12.0909090909091" style="3" customWidth="1"/>
    <col min="11" max="11" width="8.36363636363636" style="2" customWidth="1"/>
    <col min="12" max="12" width="23.1818181818182" style="4" customWidth="1"/>
    <col min="13" max="13" width="23.1818181818182" style="2" customWidth="1"/>
    <col min="14" max="14" width="18.8181818181818" style="2" customWidth="1"/>
    <col min="15" max="15" width="17" style="2" customWidth="1"/>
    <col min="16" max="16" width="29.2727272727273" style="2" customWidth="1"/>
    <col min="17" max="17" width="29" style="2" customWidth="1"/>
    <col min="18" max="18" width="18.9090909090909" style="2" customWidth="1"/>
    <col min="19" max="20" width="13.6363636363636" style="2" customWidth="1"/>
    <col min="21" max="21" width="16.0909090909091" style="2" customWidth="1"/>
    <col min="22" max="23" width="18.2727272727273" style="2" customWidth="1"/>
    <col min="24" max="24" width="31.4545454545455" style="2" customWidth="1"/>
    <col min="25" max="25" width="21.3636363636364" style="2" customWidth="1"/>
    <col min="26" max="16384" width="9.45454545454546" style="2"/>
  </cols>
  <sheetData>
    <row r="1" spans="1:25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</row>
    <row r="2" s="1" customFormat="1" ht="42" spans="1: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7" t="s">
        <v>10</v>
      </c>
      <c r="L2" s="7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</row>
    <row r="3" s="1" customFormat="1" ht="28" spans="1:25">
      <c r="A3" s="5" t="s">
        <v>25</v>
      </c>
      <c r="B3" s="5"/>
      <c r="C3" s="5"/>
      <c r="D3" s="5"/>
      <c r="E3" s="5"/>
      <c r="F3" s="5"/>
      <c r="G3" s="5"/>
      <c r="H3" s="5"/>
      <c r="I3" s="5"/>
      <c r="J3" s="6"/>
      <c r="K3" s="7"/>
      <c r="L3" s="7"/>
      <c r="M3" s="7" t="s">
        <v>26</v>
      </c>
      <c r="N3" s="5" t="s">
        <v>27</v>
      </c>
      <c r="O3" s="5" t="s">
        <v>28</v>
      </c>
      <c r="P3" s="5" t="s">
        <v>29</v>
      </c>
      <c r="Q3" s="5" t="s">
        <v>29</v>
      </c>
      <c r="R3" s="5" t="s">
        <v>30</v>
      </c>
      <c r="S3" s="5" t="s">
        <v>31</v>
      </c>
      <c r="T3" s="5" t="s">
        <v>31</v>
      </c>
      <c r="U3" s="5" t="s">
        <v>32</v>
      </c>
      <c r="V3" s="5" t="s">
        <v>33</v>
      </c>
      <c r="W3" s="5"/>
      <c r="X3" s="5" t="s">
        <v>34</v>
      </c>
      <c r="Y3" s="5" t="s">
        <v>35</v>
      </c>
    </row>
    <row r="4" spans="1:25">
      <c r="A4" s="8" t="s">
        <v>36</v>
      </c>
      <c r="B4" s="8" t="s">
        <v>37</v>
      </c>
      <c r="C4" s="8" t="s">
        <v>38</v>
      </c>
      <c r="D4" s="8" t="s">
        <v>39</v>
      </c>
      <c r="E4" s="8">
        <v>8</v>
      </c>
      <c r="F4" s="8">
        <v>8</v>
      </c>
      <c r="G4" s="8"/>
      <c r="H4" s="8">
        <v>300</v>
      </c>
      <c r="I4" s="8">
        <v>428.4</v>
      </c>
      <c r="J4" s="9">
        <f>(SUM(P4:V4)+K4*O4)*1.1</f>
        <v>348080.04</v>
      </c>
      <c r="K4" s="10">
        <v>9</v>
      </c>
      <c r="L4" s="11">
        <v>25888195.7783333</v>
      </c>
      <c r="M4" s="10"/>
      <c r="N4" s="10"/>
      <c r="O4" s="8">
        <f>I4*2.3*30</f>
        <v>29559.6</v>
      </c>
      <c r="P4" s="8">
        <f>350*E4</f>
        <v>2800</v>
      </c>
      <c r="Q4" s="8">
        <f>350*F4</f>
        <v>2800</v>
      </c>
      <c r="R4" s="8">
        <f>30*H4</f>
        <v>9000</v>
      </c>
      <c r="S4" s="8">
        <f>25*H4</f>
        <v>7500</v>
      </c>
      <c r="T4" s="8">
        <f>25*H4</f>
        <v>7500</v>
      </c>
      <c r="U4" s="8">
        <f>900*E4</f>
        <v>7200</v>
      </c>
      <c r="V4" s="8">
        <f>1700*F4</f>
        <v>13600</v>
      </c>
      <c r="W4" s="8">
        <v>99</v>
      </c>
      <c r="X4" s="8"/>
      <c r="Y4" s="8"/>
    </row>
    <row r="5" spans="1:25">
      <c r="A5" s="8" t="s">
        <v>40</v>
      </c>
      <c r="B5" s="8" t="s">
        <v>37</v>
      </c>
      <c r="C5" s="8" t="s">
        <v>38</v>
      </c>
      <c r="D5" s="8" t="s">
        <v>39</v>
      </c>
      <c r="E5" s="8">
        <v>8</v>
      </c>
      <c r="F5" s="8">
        <v>8</v>
      </c>
      <c r="G5" s="8"/>
      <c r="H5" s="8">
        <v>300</v>
      </c>
      <c r="I5" s="8">
        <v>428.4</v>
      </c>
      <c r="J5" s="9">
        <f>(SUM(P5:Y5)+K5*O5)*1.1</f>
        <v>547529.147493166</v>
      </c>
      <c r="K5" s="10">
        <v>9</v>
      </c>
      <c r="L5" s="11">
        <v>25888195.7783333</v>
      </c>
      <c r="M5" s="10"/>
      <c r="N5" s="10"/>
      <c r="O5" s="8">
        <f>I5*2.3*30</f>
        <v>29559.6</v>
      </c>
      <c r="P5" s="8">
        <f>350*E5</f>
        <v>2800</v>
      </c>
      <c r="Q5" s="8">
        <f>350*F5</f>
        <v>2800</v>
      </c>
      <c r="R5" s="8">
        <f>30*H5</f>
        <v>9000</v>
      </c>
      <c r="S5" s="8">
        <f>25*H5</f>
        <v>7500</v>
      </c>
      <c r="T5" s="8">
        <f>25*H5</f>
        <v>7500</v>
      </c>
      <c r="U5" s="8">
        <f>900*E5</f>
        <v>7200</v>
      </c>
      <c r="V5" s="8">
        <f>1700*F5</f>
        <v>13600</v>
      </c>
      <c r="W5" s="8">
        <v>100</v>
      </c>
      <c r="X5" s="8">
        <f>0.001*L5</f>
        <v>25888.1957783333</v>
      </c>
      <c r="Y5" s="8">
        <f>0.006*L5</f>
        <v>155329.17467</v>
      </c>
    </row>
    <row r="6" spans="1:25">
      <c r="A6" s="8" t="s">
        <v>36</v>
      </c>
      <c r="B6" s="8" t="s">
        <v>41</v>
      </c>
      <c r="C6" s="8" t="s">
        <v>42</v>
      </c>
      <c r="D6" s="8" t="s">
        <v>39</v>
      </c>
      <c r="E6" s="8"/>
      <c r="F6" s="8"/>
      <c r="G6" s="8" t="s">
        <v>43</v>
      </c>
      <c r="H6" s="8"/>
      <c r="I6" s="8"/>
      <c r="J6" s="9">
        <f>M6*K6</f>
        <v>65000</v>
      </c>
      <c r="K6" s="10">
        <v>1</v>
      </c>
      <c r="L6" s="11"/>
      <c r="M6" s="10">
        <f>65000</f>
        <v>65000</v>
      </c>
      <c r="N6" s="10"/>
      <c r="O6" s="12"/>
      <c r="P6" s="12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 t="s">
        <v>36</v>
      </c>
      <c r="B7" s="8" t="s">
        <v>41</v>
      </c>
      <c r="C7" s="8" t="s">
        <v>42</v>
      </c>
      <c r="D7" s="8" t="s">
        <v>39</v>
      </c>
      <c r="E7" s="8"/>
      <c r="F7" s="8"/>
      <c r="G7" s="8" t="s">
        <v>44</v>
      </c>
      <c r="H7" s="8">
        <v>10</v>
      </c>
      <c r="I7" s="8">
        <v>12</v>
      </c>
      <c r="J7" s="9">
        <f>N7*K7</f>
        <v>5760</v>
      </c>
      <c r="K7" s="10">
        <v>2</v>
      </c>
      <c r="L7" s="11"/>
      <c r="M7" s="10"/>
      <c r="N7" s="10">
        <f>60*I7*4</f>
        <v>2880</v>
      </c>
      <c r="O7" s="12"/>
      <c r="P7" s="12"/>
      <c r="Q7" s="8"/>
      <c r="R7" s="8"/>
      <c r="S7" s="8"/>
      <c r="T7" s="8"/>
      <c r="U7" s="8"/>
      <c r="V7" s="8"/>
      <c r="W7" s="8"/>
      <c r="X7" s="8"/>
      <c r="Y7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WAHL WH fee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ZSH</dc:creator>
  <cp:lastModifiedBy>Daryl Dixon</cp:lastModifiedBy>
  <dcterms:created xsi:type="dcterms:W3CDTF">2023-05-12T11:15:00Z</dcterms:created>
  <dcterms:modified xsi:type="dcterms:W3CDTF">2026-03-30T06:21:28Z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AFBCFD77ACD243E798431CDF82410321_12</vt:lpwstr>
  </property>
  <property fmtid="{D5CDD505-2E9C-101B-9397-08002B2CF9AE}" pid="4" name="CalculationRule">
    <vt:i4>0</vt:i4>
  </property>
</Properties>
</file>