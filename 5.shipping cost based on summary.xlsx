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690" activeTab="2"/>
  </bookViews>
  <sheets>
    <sheet name="routine" sheetId="8" r:id="rId1"/>
    <sheet name="WAHL-Customer" sheetId="7" r:id="rId2"/>
    <sheet name="VENDOR-WAHL" sheetId="4" r:id="rId3"/>
    <sheet name="WAHL-DGWA" sheetId="5" r:id="rId4"/>
    <sheet name="WAHL WH fee" sheetId="6" r:id="rId5"/>
  </sheets>
  <definedNames>
    <definedName name="_xlnm._FilterDatabase" localSheetId="1" hidden="1">'WAHL-Customer'!$A$2:$AG$34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<sst xmlns="http://schemas.openxmlformats.org/spreadsheetml/2006/main" count="825" uniqueCount="234">
  <si>
    <t>WADG</t>
  </si>
  <si>
    <t>Cusomer-Dyson</t>
  </si>
  <si>
    <t>Customer others</t>
  </si>
  <si>
    <t>WAHK</t>
  </si>
  <si>
    <t>Giken</t>
  </si>
  <si>
    <t>HK/oversea Vendor</t>
  </si>
  <si>
    <t>Humen</t>
  </si>
  <si>
    <t>Vendor</t>
  </si>
  <si>
    <t>HK3PL</t>
  </si>
  <si>
    <t>Own</t>
  </si>
  <si>
    <t>From</t>
  </si>
  <si>
    <t>To</t>
  </si>
  <si>
    <t>INCOTERMS</t>
  </si>
  <si>
    <t>Truck size</t>
  </si>
  <si>
    <t>CBM</t>
  </si>
  <si>
    <t>PALLET QTY</t>
  </si>
  <si>
    <t>G/W</t>
  </si>
  <si>
    <t>Method</t>
  </si>
  <si>
    <t>SUMMARY</t>
  </si>
  <si>
    <t>MAP</t>
  </si>
  <si>
    <t>E2E Cost</t>
  </si>
  <si>
    <t>E2E Lead Time</t>
  </si>
  <si>
    <t>TRUCK FEE</t>
  </si>
  <si>
    <t>HK Custom clearance fee</t>
  </si>
  <si>
    <t>DOC/SET</t>
  </si>
  <si>
    <t>HANDING/SET</t>
  </si>
  <si>
    <t>Other H/D for chemical</t>
  </si>
  <si>
    <t>THC</t>
  </si>
  <si>
    <t>Seal fee/SET</t>
  </si>
  <si>
    <t>Security fee/SET</t>
  </si>
  <si>
    <t>VGM/SET</t>
  </si>
  <si>
    <t>Electronic fee</t>
  </si>
  <si>
    <t>ISPS</t>
  </si>
  <si>
    <t>OCEAN FEE</t>
  </si>
  <si>
    <t xml:space="preserve">Destination THC </t>
  </si>
  <si>
    <t>集装箱平衡费 /SET</t>
  </si>
  <si>
    <t>集装箱清洁费 /SET</t>
  </si>
  <si>
    <t>port charge/SET</t>
  </si>
  <si>
    <t>文件费</t>
  </si>
  <si>
    <t>清关费</t>
  </si>
  <si>
    <t>递送费/SET</t>
  </si>
  <si>
    <t>操作费</t>
  </si>
  <si>
    <t>WAHL</t>
  </si>
  <si>
    <t>Dyson PH Manila</t>
  </si>
  <si>
    <t>DAP MANILA</t>
  </si>
  <si>
    <t>20GP</t>
  </si>
  <si>
    <t>N/A</t>
  </si>
  <si>
    <t>FCL</t>
  </si>
  <si>
    <t>A</t>
  </si>
  <si>
    <t>Standard</t>
  </si>
  <si>
    <t>1550HKD/SET</t>
  </si>
  <si>
    <t>513 HKD/SET</t>
  </si>
  <si>
    <t>57 HKD/SET</t>
  </si>
  <si>
    <t>786.6 HKD/SET</t>
  </si>
  <si>
    <t>62.7 HKD/SET</t>
  </si>
  <si>
    <t>2574 HKD/SET</t>
  </si>
  <si>
    <t>4290 HKD/SET</t>
  </si>
  <si>
    <t>3900 HKD/SET</t>
  </si>
  <si>
    <t>624HKD/SET</t>
  </si>
  <si>
    <t>7449HKD/SET</t>
  </si>
  <si>
    <t>18-21Days</t>
  </si>
  <si>
    <t>40GP</t>
  </si>
  <si>
    <t>1197 HKD/SET</t>
  </si>
  <si>
    <t>3939 HKD/SET</t>
  </si>
  <si>
    <t>7176 HKD/SET</t>
  </si>
  <si>
    <t>5460 HKD/SET</t>
  </si>
  <si>
    <t>8190HKD/SET</t>
  </si>
  <si>
    <t>Dyson PH Batangas</t>
  </si>
  <si>
    <t>DAP  Batangas</t>
  </si>
  <si>
    <t>3432 HKD/SET</t>
  </si>
  <si>
    <t>3783 HKD/SET</t>
  </si>
  <si>
    <t>1248HKD/SET</t>
  </si>
  <si>
    <t>4524HKD/SET</t>
  </si>
  <si>
    <t>5694 HKD/SET</t>
  </si>
  <si>
    <t>6630 HKD/SET</t>
  </si>
  <si>
    <t>5616 HKD/SET</t>
  </si>
  <si>
    <t>4680HKD/SET</t>
  </si>
  <si>
    <t>Dyson MY PASIR GUDANG</t>
  </si>
  <si>
    <t>DAP  PASIR GUDANG</t>
  </si>
  <si>
    <t>570 HKD/SET</t>
  </si>
  <si>
    <t>119.7 HKD/SET</t>
  </si>
  <si>
    <t>7410HKD/SET</t>
  </si>
  <si>
    <t>2301 HKD/SET</t>
  </si>
  <si>
    <t>390 HKD/SET</t>
  </si>
  <si>
    <t>702 HKD/SET</t>
  </si>
  <si>
    <t>2964 HKD/SET</t>
  </si>
  <si>
    <t>663 HKD/SET</t>
  </si>
  <si>
    <t>119.7HKD/SET</t>
  </si>
  <si>
    <t>15210 HKD/SET</t>
  </si>
  <si>
    <t>2808 HKD/SET</t>
  </si>
  <si>
    <t>780 HKD/SET</t>
  </si>
  <si>
    <t>3510 HKD/SET</t>
  </si>
  <si>
    <t>GK ID BATAM</t>
  </si>
  <si>
    <t>CIF BATAM</t>
  </si>
  <si>
    <t>B</t>
  </si>
  <si>
    <t>3900HKD/SET</t>
  </si>
  <si>
    <t>200HKD/SET</t>
  </si>
  <si>
    <t>640 HKD/SET</t>
  </si>
  <si>
    <t>300 HKD/SET</t>
  </si>
  <si>
    <t>2100 HKD/SET</t>
  </si>
  <si>
    <t>110 HKD/SET</t>
  </si>
  <si>
    <t>8330 HKD/SET</t>
  </si>
  <si>
    <t>3050 HKD/SET</t>
  </si>
  <si>
    <t>15450 HKD/SET</t>
  </si>
  <si>
    <t>GK ID BATAM chemical</t>
  </si>
  <si>
    <t>4500HKD/SET</t>
  </si>
  <si>
    <t>1863 HKD/SET</t>
  </si>
  <si>
    <t>25109 HKD/SET</t>
  </si>
  <si>
    <t>9611 HKD/SET</t>
  </si>
  <si>
    <t>Sensata Mexico</t>
  </si>
  <si>
    <t>DAP MX Manzanillo</t>
  </si>
  <si>
    <t>LCL</t>
  </si>
  <si>
    <t>C</t>
  </si>
  <si>
    <t>80HKD/PALLET/CBM,MIN 405</t>
  </si>
  <si>
    <t>250 HKD/SET</t>
  </si>
  <si>
    <t>198HKD/CBM</t>
  </si>
  <si>
    <t>25 HKD/SET</t>
  </si>
  <si>
    <t>235 HKD/SET</t>
  </si>
  <si>
    <t>195 HKD/SET</t>
  </si>
  <si>
    <t>100 HKD/SET</t>
  </si>
  <si>
    <t>5 HKD/SET</t>
  </si>
  <si>
    <t>897 HKD/CBM</t>
  </si>
  <si>
    <t>195 HKD/CBM</t>
  </si>
  <si>
    <t>748.8 HKD/SET</t>
  </si>
  <si>
    <t>1146.6 HKD/SET</t>
  </si>
  <si>
    <t>42-49Days</t>
  </si>
  <si>
    <t>Customer-Others</t>
  </si>
  <si>
    <t>FOB SZ</t>
  </si>
  <si>
    <t>D</t>
  </si>
  <si>
    <t>1482HKD/SET</t>
  </si>
  <si>
    <t>3091 HKD/SET</t>
  </si>
  <si>
    <t>1140 HKD/SET</t>
  </si>
  <si>
    <t>4-5Days</t>
  </si>
  <si>
    <t>2109 HKD/SET</t>
  </si>
  <si>
    <t>FOB HK</t>
  </si>
  <si>
    <t>2600HKD/SET</t>
  </si>
  <si>
    <t>2200 HKD/SET</t>
  </si>
  <si>
    <t>3000 HKD/SET</t>
  </si>
  <si>
    <t>3016 HKD/SET</t>
  </si>
  <si>
    <t>230 HKD/CBM</t>
  </si>
  <si>
    <t>535 HKD/SET</t>
  </si>
  <si>
    <t>5.7 HKD/KG</t>
  </si>
  <si>
    <t>测试</t>
  </si>
  <si>
    <t>Original Pick up cost/SET</t>
  </si>
  <si>
    <t>OCEAN FEE/CBM</t>
  </si>
  <si>
    <t>CFS/CBM</t>
  </si>
  <si>
    <t>THC/KG</t>
  </si>
  <si>
    <t>Destination truck fee</t>
  </si>
  <si>
    <t>Other fee/SET</t>
  </si>
  <si>
    <t>HK custom clearance fee/SET</t>
  </si>
  <si>
    <t>Turkey</t>
  </si>
  <si>
    <t xml:space="preserve">WAHL </t>
  </si>
  <si>
    <t>EXW Turkey</t>
  </si>
  <si>
    <t>内容1</t>
  </si>
  <si>
    <t>F</t>
  </si>
  <si>
    <t>130USD/CBM,MIN 350USD</t>
  </si>
  <si>
    <t>40USD/CBM</t>
  </si>
  <si>
    <t>230HKD/CBM</t>
  </si>
  <si>
    <t>0.5HKD/KG,Min 900HKD</t>
  </si>
  <si>
    <t>2230HKD/SET</t>
  </si>
  <si>
    <t>49-56Days</t>
  </si>
  <si>
    <t>Malaysia</t>
  </si>
  <si>
    <t>EXW Malaysia</t>
  </si>
  <si>
    <t>内容2</t>
  </si>
  <si>
    <t>120USD/CBM,MIN 350USD</t>
  </si>
  <si>
    <t>12USD/CBM</t>
  </si>
  <si>
    <t>21-28Days</t>
  </si>
  <si>
    <t>HONGKONG</t>
  </si>
  <si>
    <t>EXW HK</t>
  </si>
  <si>
    <t>内容3</t>
  </si>
  <si>
    <t>0.4HKD/KG,Min 450HKD</t>
  </si>
  <si>
    <t>630HKD/SET</t>
  </si>
  <si>
    <t>Other country</t>
  </si>
  <si>
    <t>CIF HK</t>
  </si>
  <si>
    <t>内容4</t>
  </si>
  <si>
    <t>5.7HKD/KG</t>
  </si>
  <si>
    <t>15HKD/SET</t>
  </si>
  <si>
    <t>1-2Days</t>
  </si>
  <si>
    <t>内容5</t>
  </si>
  <si>
    <t>750HKD/SET</t>
  </si>
  <si>
    <t>3-4Days</t>
  </si>
  <si>
    <t>内容6</t>
  </si>
  <si>
    <t>2200HKD/SET</t>
  </si>
  <si>
    <t>3091HKD/SET</t>
  </si>
  <si>
    <t>内容7</t>
  </si>
  <si>
    <t>2300HKD/SET</t>
  </si>
  <si>
    <t>Truck times</t>
  </si>
  <si>
    <t>Capacity</t>
  </si>
  <si>
    <t>Trip</t>
  </si>
  <si>
    <t>3T</t>
  </si>
  <si>
    <t>8T</t>
  </si>
  <si>
    <t>10T</t>
  </si>
  <si>
    <t>12T</t>
  </si>
  <si>
    <t>45HQ</t>
  </si>
  <si>
    <t>Standard-Single Trip</t>
  </si>
  <si>
    <t>1Day</t>
  </si>
  <si>
    <t>Standard-Round Trip</t>
  </si>
  <si>
    <t>Truck</t>
  </si>
  <si>
    <t>Single</t>
  </si>
  <si>
    <t>E</t>
  </si>
  <si>
    <t>Round</t>
  </si>
  <si>
    <t>Import Truck times</t>
  </si>
  <si>
    <t>Export Truck times</t>
  </si>
  <si>
    <t>WH type</t>
  </si>
  <si>
    <t>pallet</t>
  </si>
  <si>
    <t>TOTAL Cost(HKD)</t>
  </si>
  <si>
    <t>Month Qty</t>
  </si>
  <si>
    <t>total invoice value (RMB)</t>
  </si>
  <si>
    <t>HK3PL RM storage fee /Month</t>
  </si>
  <si>
    <t>HK3PL FG storage fee /Month</t>
  </si>
  <si>
    <t>Humen bonded storage fee /Month</t>
  </si>
  <si>
    <t>import customs declaration fee</t>
  </si>
  <si>
    <t>Export customs declaration fee</t>
  </si>
  <si>
    <t>in&amp;out handling fee</t>
  </si>
  <si>
    <t>loading fee</t>
  </si>
  <si>
    <t>unloading fee</t>
  </si>
  <si>
    <t>inbound ruck fee</t>
  </si>
  <si>
    <t>outbound truck fee</t>
  </si>
  <si>
    <t>transp.insurance fee</t>
  </si>
  <si>
    <t xml:space="preserve">w/h storage insurance </t>
  </si>
  <si>
    <t>65000HKD/Month</t>
  </si>
  <si>
    <t>60HKD/CBM/WEEK</t>
  </si>
  <si>
    <t>2.3RMB/CBM/day</t>
  </si>
  <si>
    <t>350 RMB/time</t>
  </si>
  <si>
    <t>30 RMB/pallet</t>
  </si>
  <si>
    <t>25 RMB/pallet</t>
  </si>
  <si>
    <t>900/time</t>
  </si>
  <si>
    <t>1700/time</t>
  </si>
  <si>
    <t>0.1% of cargos value invoice value</t>
  </si>
  <si>
    <t>0.6% of cargos value</t>
  </si>
  <si>
    <t>WH Service</t>
  </si>
  <si>
    <t>Customer</t>
  </si>
  <si>
    <t>Import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</si>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</sst>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1" applyNumberFormat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13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49" applyAlignment="1">
      <alignment wrapText="1"/>
    </xf>
    <xf numFmtId="0" fontId="0" fillId="0" borderId="0" xfId="49"/>
    <xf numFmtId="176" fontId="0" fillId="0" borderId="0" xfId="51" applyNumberFormat="1" applyFont="1" applyAlignment="1"/>
    <xf numFmtId="176" fontId="0" fillId="0" borderId="0" xfId="51" applyNumberFormat="1" applyFont="1" applyFill="1" applyAlignment="1"/>
    <xf numFmtId="0" fontId="0" fillId="2" borderId="1" xfId="49" applyFill="1" applyBorder="1" applyAlignment="1">
      <alignment wrapText="1"/>
    </xf>
    <xf numFmtId="0" fontId="1" fillId="2" borderId="1" xfId="49" applyFont="1" applyFill="1" applyBorder="1" applyAlignment="1">
      <alignment wrapText="1"/>
    </xf>
    <xf numFmtId="176" fontId="1" fillId="2" borderId="2" xfId="51" applyNumberFormat="1" applyFont="1" applyFill="1" applyBorder="1" applyAlignment="1">
      <alignment wrapText="1"/>
    </xf>
    <xf numFmtId="0" fontId="0" fillId="2" borderId="2" xfId="49" applyFill="1" applyBorder="1" applyAlignment="1">
      <alignment wrapText="1"/>
    </xf>
    <xf numFmtId="176" fontId="0" fillId="2" borderId="2" xfId="51" applyNumberFormat="1" applyFont="1" applyFill="1" applyBorder="1" applyAlignment="1">
      <alignment wrapText="1"/>
    </xf>
    <xf numFmtId="0" fontId="0" fillId="0" borderId="1" xfId="49" applyBorder="1"/>
    <xf numFmtId="0" fontId="1" fillId="0" borderId="1" xfId="49" applyFont="1" applyBorder="1"/>
    <xf numFmtId="176" fontId="0" fillId="0" borderId="2" xfId="51" applyNumberFormat="1" applyFont="1" applyBorder="1" applyAlignment="1"/>
    <xf numFmtId="0" fontId="0" fillId="0" borderId="2" xfId="49" applyBorder="1"/>
    <xf numFmtId="176" fontId="0" fillId="0" borderId="2" xfId="51" applyNumberFormat="1" applyFont="1" applyFill="1" applyBorder="1" applyAlignment="1"/>
    <xf numFmtId="0" fontId="2" fillId="3" borderId="1" xfId="49" applyFont="1" applyFill="1" applyBorder="1"/>
    <xf numFmtId="0" fontId="0" fillId="0" borderId="1" xfId="49" applyFont="1" applyBorder="1"/>
    <xf numFmtId="0" fontId="0" fillId="0" borderId="0" xfId="49" applyFill="1"/>
    <xf numFmtId="0" fontId="0" fillId="2" borderId="1" xfId="49" applyFont="1" applyFill="1" applyBorder="1" applyAlignment="1">
      <alignment wrapText="1"/>
    </xf>
    <xf numFmtId="0" fontId="3" fillId="2" borderId="1" xfId="49" applyFont="1" applyFill="1" applyBorder="1"/>
    <xf numFmtId="0" fontId="1" fillId="0" borderId="0" xfId="49" applyFont="1" applyAlignment="1">
      <alignment wrapText="1"/>
    </xf>
    <xf numFmtId="176" fontId="0" fillId="0" borderId="1" xfId="51" applyNumberFormat="1" applyFont="1" applyBorder="1" applyAlignment="1"/>
    <xf numFmtId="0" fontId="0" fillId="0" borderId="1" xfId="49" applyFill="1" applyBorder="1"/>
    <xf numFmtId="0" fontId="0" fillId="0" borderId="1" xfId="49" applyFont="1" applyFill="1" applyBorder="1"/>
    <xf numFmtId="176" fontId="0" fillId="0" borderId="1" xfId="51" applyNumberFormat="1" applyFont="1" applyFill="1" applyBorder="1" applyAlignment="1"/>
    <xf numFmtId="0" fontId="1" fillId="0" borderId="1" xfId="49" applyFont="1" applyFill="1" applyBorder="1"/>
    <xf numFmtId="0" fontId="3" fillId="0" borderId="0" xfId="49" applyFont="1"/>
    <xf numFmtId="0" fontId="3" fillId="4" borderId="0" xfId="49" applyFont="1" applyFill="1"/>
    <xf numFmtId="0" fontId="3" fillId="2" borderId="2" xfId="49" applyFont="1" applyFill="1" applyBorder="1"/>
    <xf numFmtId="0" fontId="4" fillId="2" borderId="2" xfId="49" applyFont="1" applyFill="1" applyBorder="1"/>
    <xf numFmtId="0" fontId="3" fillId="4" borderId="2" xfId="49" applyFont="1" applyFill="1" applyBorder="1"/>
    <xf numFmtId="0" fontId="3" fillId="0" borderId="3" xfId="49" applyFont="1" applyBorder="1" applyAlignment="1">
      <alignment horizontal="center"/>
    </xf>
    <xf numFmtId="0" fontId="4" fillId="0" borderId="3" xfId="49" applyFont="1" applyBorder="1" applyAlignment="1">
      <alignment horizontal="center"/>
    </xf>
    <xf numFmtId="0" fontId="3" fillId="0" borderId="1" xfId="49" applyFont="1" applyBorder="1"/>
    <xf numFmtId="0" fontId="3" fillId="0" borderId="2" xfId="49" applyFont="1" applyBorder="1"/>
    <xf numFmtId="0" fontId="3" fillId="0" borderId="4" xfId="49" applyFont="1" applyBorder="1" applyAlignment="1">
      <alignment horizontal="center"/>
    </xf>
    <xf numFmtId="0" fontId="0" fillId="0" borderId="2" xfId="49" applyFont="1" applyBorder="1"/>
    <xf numFmtId="0" fontId="0" fillId="4" borderId="2" xfId="49" applyFont="1" applyFill="1" applyBorder="1"/>
    <xf numFmtId="0" fontId="0" fillId="3" borderId="3" xfId="49" applyFill="1" applyBorder="1" applyAlignment="1">
      <alignment horizontal="center"/>
    </xf>
    <xf numFmtId="0" fontId="0" fillId="3" borderId="4" xfId="49" applyFill="1" applyBorder="1" applyAlignment="1">
      <alignment horizontal="center"/>
    </xf>
    <xf numFmtId="0" fontId="1" fillId="0" borderId="2" xfId="49" applyFont="1" applyBorder="1"/>
    <xf numFmtId="0" fontId="3" fillId="5" borderId="0" xfId="49" applyFont="1" applyFill="1"/>
    <xf numFmtId="0" fontId="3" fillId="6" borderId="0" xfId="49" applyFont="1" applyFill="1"/>
    <xf numFmtId="0" fontId="4" fillId="2" borderId="1" xfId="49" applyFont="1" applyFill="1" applyBorder="1"/>
    <xf numFmtId="0" fontId="3" fillId="4" borderId="1" xfId="49" applyFont="1" applyFill="1" applyBorder="1"/>
    <xf numFmtId="0" fontId="3" fillId="7" borderId="1" xfId="49" applyFont="1" applyFill="1" applyBorder="1"/>
    <xf numFmtId="0" fontId="3" fillId="0" borderId="1" xfId="49" applyFont="1" applyBorder="1" applyAlignment="1">
      <alignment horizontal="center"/>
    </xf>
    <xf numFmtId="0" fontId="2" fillId="4" borderId="1" xfId="49" applyFont="1" applyFill="1" applyBorder="1"/>
    <xf numFmtId="0" fontId="0" fillId="0" borderId="0" xfId="50"/>
    <xf numFmtId="0" fontId="0" fillId="8" borderId="0" xfId="50" applyFill="1"/>
    <xf numFmtId="0" fontId="0" fillId="8" borderId="5" xfId="50" applyFill="1" applyBorder="1"/>
    <xf numFmtId="0" fontId="0" fillId="8" borderId="5" xfId="50" applyFill="1" applyBorder="1" applyAlignment="1">
      <alignment wrapText="1"/>
    </xf>
    <xf numFmtId="0" fontId="1" fillId="8" borderId="5" xfId="50" applyFont="1" applyFill="1" applyBorder="1"/>
    <xf numFmtId="0" fontId="0" fillId="8" borderId="6" xfId="50" applyFill="1" applyBorder="1" applyAlignment="1">
      <alignment horizontal="center" vertical="center"/>
    </xf>
    <xf numFmtId="0" fontId="0" fillId="8" borderId="7" xfId="50" applyFill="1" applyBorder="1" applyAlignment="1">
      <alignment horizontal="center" vertical="center"/>
    </xf>
    <xf numFmtId="0" fontId="0" fillId="9" borderId="0" xfId="50" applyFill="1"/>
    <xf numFmtId="0" fontId="1" fillId="9" borderId="6" xfId="50" applyFont="1" applyFill="1" applyBorder="1" applyAlignment="1">
      <alignment horizontal="center" vertical="center"/>
    </xf>
    <xf numFmtId="0" fontId="0" fillId="9" borderId="7" xfId="50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千位分隔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948267</xdr:colOff>
      <xdr:row>11</xdr:row>
      <xdr:rowOff>76202</xdr:rowOff>
    </xdr:from>
    <xdr:to>
      <xdr:col>4</xdr:col>
      <xdr:colOff>584200</xdr:colOff>
      <xdr:row>16</xdr:row>
      <xdr:rowOff>67733</xdr:rowOff>
    </xdr:to>
    <xdr:cxnSp>
      <xdr:nvCxnSpPr>
        <xdr:cNvPr id="2" name="Connector: Curved 4"/>
        <xdr:cNvCxnSpPr/>
      </xdr:nvCxnSpPr>
      <xdr:spPr>
        <a:xfrm flipV="1">
          <a:off x="1608455" y="2444750"/>
          <a:ext cx="2011045" cy="90868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4</xdr:row>
      <xdr:rowOff>30481</xdr:rowOff>
    </xdr:from>
    <xdr:to>
      <xdr:col>5</xdr:col>
      <xdr:colOff>194737</xdr:colOff>
      <xdr:row>11</xdr:row>
      <xdr:rowOff>33867</xdr:rowOff>
    </xdr:to>
    <xdr:cxnSp>
      <xdr:nvCxnSpPr>
        <xdr:cNvPr id="3" name="Connector: Curved 6"/>
        <xdr:cNvCxnSpPr/>
      </xdr:nvCxnSpPr>
      <xdr:spPr>
        <a:xfrm rot="16200000" flipV="1">
          <a:off x="2782570" y="1294765"/>
          <a:ext cx="1642110" cy="57340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574889</xdr:colOff>
      <xdr:row>4</xdr:row>
      <xdr:rowOff>44027</xdr:rowOff>
    </xdr:from>
    <xdr:to>
      <xdr:col>5</xdr:col>
      <xdr:colOff>541869</xdr:colOff>
      <xdr:row>10</xdr:row>
      <xdr:rowOff>152400</xdr:rowOff>
    </xdr:to>
    <xdr:cxnSp>
      <xdr:nvCxnSpPr>
        <xdr:cNvPr id="4" name="Connector: Curved 19"/>
        <xdr:cNvCxnSpPr/>
      </xdr:nvCxnSpPr>
      <xdr:spPr>
        <a:xfrm rot="16200000" flipH="1">
          <a:off x="3143885" y="1240155"/>
          <a:ext cx="1559560" cy="62738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3</xdr:row>
      <xdr:rowOff>22860</xdr:rowOff>
    </xdr:from>
    <xdr:to>
      <xdr:col>15</xdr:col>
      <xdr:colOff>533400</xdr:colOff>
      <xdr:row>4</xdr:row>
      <xdr:rowOff>99060</xdr:rowOff>
    </xdr:to>
    <xdr:cxnSp>
      <xdr:nvCxnSpPr>
        <xdr:cNvPr id="5" name="Connector: Curved 25"/>
        <xdr:cNvCxnSpPr/>
      </xdr:nvCxnSpPr>
      <xdr:spPr>
        <a:xfrm>
          <a:off x="3561080" y="565785"/>
          <a:ext cx="7272020" cy="26352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3</xdr:row>
      <xdr:rowOff>38100</xdr:rowOff>
    </xdr:from>
    <xdr:to>
      <xdr:col>15</xdr:col>
      <xdr:colOff>533400</xdr:colOff>
      <xdr:row>8</xdr:row>
      <xdr:rowOff>137160</xdr:rowOff>
    </xdr:to>
    <xdr:cxnSp>
      <xdr:nvCxnSpPr>
        <xdr:cNvPr id="6" name="Connector: Curved 31"/>
        <xdr:cNvCxnSpPr/>
      </xdr:nvCxnSpPr>
      <xdr:spPr>
        <a:xfrm>
          <a:off x="3710940" y="581025"/>
          <a:ext cx="7122160" cy="119443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254000</xdr:colOff>
      <xdr:row>12</xdr:row>
      <xdr:rowOff>25400</xdr:rowOff>
    </xdr:from>
    <xdr:to>
      <xdr:col>3</xdr:col>
      <xdr:colOff>440267</xdr:colOff>
      <xdr:row>13</xdr:row>
      <xdr:rowOff>177799</xdr:rowOff>
    </xdr:to>
    <xdr:sp>
      <xdr:nvSpPr>
        <xdr:cNvPr id="7" name="Oval 43"/>
        <xdr:cNvSpPr/>
      </xdr:nvSpPr>
      <xdr:spPr>
        <a:xfrm>
          <a:off x="2628900" y="2581275"/>
          <a:ext cx="186055" cy="3295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F</a:t>
          </a:r>
          <a:endParaRPr lang="x-none" altLang="en-US" sz="1100"/>
        </a:p>
      </xdr:txBody>
    </xdr:sp>
    <xdr:clientData/>
  </xdr:twoCellAnchor>
  <xdr:twoCellAnchor>
    <xdr:from>
      <xdr:col>11</xdr:col>
      <xdr:colOff>67734</xdr:colOff>
      <xdr:row>5</xdr:row>
      <xdr:rowOff>118534</xdr:rowOff>
    </xdr:from>
    <xdr:to>
      <xdr:col>11</xdr:col>
      <xdr:colOff>254001</xdr:colOff>
      <xdr:row>7</xdr:row>
      <xdr:rowOff>76200</xdr:rowOff>
    </xdr:to>
    <xdr:sp>
      <xdr:nvSpPr>
        <xdr:cNvPr id="8" name="Oval 44"/>
        <xdr:cNvSpPr/>
      </xdr:nvSpPr>
      <xdr:spPr>
        <a:xfrm>
          <a:off x="7725410" y="1213485"/>
          <a:ext cx="186690" cy="3136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D</a:t>
          </a:r>
          <a:endParaRPr lang="x-none" altLang="en-US" sz="1100"/>
        </a:p>
      </xdr:txBody>
    </xdr:sp>
    <xdr:clientData/>
  </xdr:twoCellAnchor>
  <xdr:twoCellAnchor>
    <xdr:from>
      <xdr:col>11</xdr:col>
      <xdr:colOff>118534</xdr:colOff>
      <xdr:row>2</xdr:row>
      <xdr:rowOff>67734</xdr:rowOff>
    </xdr:from>
    <xdr:to>
      <xdr:col>11</xdr:col>
      <xdr:colOff>304801</xdr:colOff>
      <xdr:row>4</xdr:row>
      <xdr:rowOff>25401</xdr:rowOff>
    </xdr:to>
    <xdr:sp>
      <xdr:nvSpPr>
        <xdr:cNvPr id="9" name="Oval 45"/>
        <xdr:cNvSpPr/>
      </xdr:nvSpPr>
      <xdr:spPr>
        <a:xfrm>
          <a:off x="7776210" y="422910"/>
          <a:ext cx="186690" cy="3327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A</a:t>
          </a:r>
          <a:endParaRPr lang="x-none" altLang="en-US" sz="1100"/>
        </a:p>
      </xdr:txBody>
    </xdr:sp>
    <xdr:clientData/>
  </xdr:twoCellAnchor>
  <xdr:twoCellAnchor>
    <xdr:from>
      <xdr:col>4</xdr:col>
      <xdr:colOff>177799</xdr:colOff>
      <xdr:row>6</xdr:row>
      <xdr:rowOff>42335</xdr:rowOff>
    </xdr:from>
    <xdr:to>
      <xdr:col>4</xdr:col>
      <xdr:colOff>364066</xdr:colOff>
      <xdr:row>8</xdr:row>
      <xdr:rowOff>8467</xdr:rowOff>
    </xdr:to>
    <xdr:sp>
      <xdr:nvSpPr>
        <xdr:cNvPr id="10" name="Oval 51"/>
        <xdr:cNvSpPr/>
      </xdr:nvSpPr>
      <xdr:spPr>
        <a:xfrm>
          <a:off x="3212465" y="1315085"/>
          <a:ext cx="186690" cy="33147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E</a:t>
          </a:r>
          <a:endParaRPr lang="x-none" altLang="en-US" sz="1100"/>
        </a:p>
      </xdr:txBody>
    </xdr:sp>
    <xdr:clientData/>
  </xdr:twoCellAnchor>
  <xdr:twoCellAnchor>
    <xdr:from>
      <xdr:col>5</xdr:col>
      <xdr:colOff>321734</xdr:colOff>
      <xdr:row>6</xdr:row>
      <xdr:rowOff>42335</xdr:rowOff>
    </xdr:from>
    <xdr:to>
      <xdr:col>5</xdr:col>
      <xdr:colOff>508001</xdr:colOff>
      <xdr:row>8</xdr:row>
      <xdr:rowOff>1</xdr:rowOff>
    </xdr:to>
    <xdr:sp>
      <xdr:nvSpPr>
        <xdr:cNvPr id="11" name="Oval 52"/>
        <xdr:cNvSpPr/>
      </xdr:nvSpPr>
      <xdr:spPr>
        <a:xfrm>
          <a:off x="4017010" y="1315085"/>
          <a:ext cx="186690" cy="3232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en-US" sz="1100"/>
            <a:t>E</a:t>
          </a:r>
          <a:endParaRPr lang="x-none" altLang="en-US" sz="1100"/>
        </a:p>
      </xdr:txBody>
    </xdr:sp>
    <xdr:clientData/>
  </xdr:twoCellAnchor>
  <xdr:twoCellAnchor>
    <xdr:from>
      <xdr:col>5</xdr:col>
      <xdr:colOff>550334</xdr:colOff>
      <xdr:row>10</xdr:row>
      <xdr:rowOff>169333</xdr:rowOff>
    </xdr:from>
    <xdr:to>
      <xdr:col>10</xdr:col>
      <xdr:colOff>601134</xdr:colOff>
      <xdr:row>12</xdr:row>
      <xdr:rowOff>101600</xdr:rowOff>
    </xdr:to>
    <xdr:cxnSp>
      <xdr:nvCxnSpPr>
        <xdr:cNvPr id="12" name="Connector: Curved 79"/>
        <xdr:cNvCxnSpPr/>
      </xdr:nvCxnSpPr>
      <xdr:spPr>
        <a:xfrm>
          <a:off x="4245610" y="2350135"/>
          <a:ext cx="3352800" cy="30734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431799</xdr:colOff>
      <xdr:row>10</xdr:row>
      <xdr:rowOff>16935</xdr:rowOff>
    </xdr:from>
    <xdr:to>
      <xdr:col>8</xdr:col>
      <xdr:colOff>8466</xdr:colOff>
      <xdr:row>11</xdr:row>
      <xdr:rowOff>160871</xdr:rowOff>
    </xdr:to>
    <xdr:sp>
      <xdr:nvSpPr>
        <xdr:cNvPr id="13" name="Oval 81"/>
        <xdr:cNvSpPr/>
      </xdr:nvSpPr>
      <xdr:spPr>
        <a:xfrm>
          <a:off x="5447665" y="2197735"/>
          <a:ext cx="237490" cy="33147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B</a:t>
          </a:r>
          <a:endParaRPr lang="x-none" altLang="en-US" sz="1100"/>
        </a:p>
      </xdr:txBody>
    </xdr:sp>
    <xdr:clientData/>
  </xdr:twoCellAnchor>
  <xdr:twoCellAnchor>
    <xdr:from>
      <xdr:col>5</xdr:col>
      <xdr:colOff>613834</xdr:colOff>
      <xdr:row>8</xdr:row>
      <xdr:rowOff>211666</xdr:rowOff>
    </xdr:from>
    <xdr:to>
      <xdr:col>15</xdr:col>
      <xdr:colOff>472723</xdr:colOff>
      <xdr:row>10</xdr:row>
      <xdr:rowOff>127000</xdr:rowOff>
    </xdr:to>
    <xdr:cxnSp>
      <xdr:nvCxnSpPr>
        <xdr:cNvPr id="14" name="Connector: Curved 31"/>
        <xdr:cNvCxnSpPr/>
      </xdr:nvCxnSpPr>
      <xdr:spPr>
        <a:xfrm flipV="1">
          <a:off x="4309110" y="1849755"/>
          <a:ext cx="6463030" cy="45847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385234</xdr:colOff>
      <xdr:row>8</xdr:row>
      <xdr:rowOff>167923</xdr:rowOff>
    </xdr:from>
    <xdr:to>
      <xdr:col>10</xdr:col>
      <xdr:colOff>571501</xdr:colOff>
      <xdr:row>9</xdr:row>
      <xdr:rowOff>125589</xdr:rowOff>
    </xdr:to>
    <xdr:sp>
      <xdr:nvSpPr>
        <xdr:cNvPr id="15" name="Oval 44"/>
        <xdr:cNvSpPr/>
      </xdr:nvSpPr>
      <xdr:spPr>
        <a:xfrm>
          <a:off x="7382510" y="1805940"/>
          <a:ext cx="186690" cy="322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C</a:t>
          </a:r>
          <a:endParaRPr lang="x-none" altLang="en-US" sz="1100"/>
        </a:p>
      </xdr:txBody>
    </xdr:sp>
    <xdr:clientData/>
  </xdr:twoCellAnchor>
  <xdr:twoCellAnchor>
    <xdr:from>
      <xdr:col>6</xdr:col>
      <xdr:colOff>642470</xdr:colOff>
      <xdr:row>31</xdr:row>
      <xdr:rowOff>171823</xdr:rowOff>
    </xdr:from>
    <xdr:to>
      <xdr:col>11</xdr:col>
      <xdr:colOff>648445</xdr:colOff>
      <xdr:row>32</xdr:row>
      <xdr:rowOff>32371</xdr:rowOff>
    </xdr:to>
    <xdr:cxnSp>
      <xdr:nvCxnSpPr>
        <xdr:cNvPr id="16" name="Connector: Curved 79"/>
        <xdr:cNvCxnSpPr/>
      </xdr:nvCxnSpPr>
      <xdr:spPr>
        <a:xfrm>
          <a:off x="4998085" y="6321425"/>
          <a:ext cx="3308350" cy="3810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117854</xdr:colOff>
      <xdr:row>29</xdr:row>
      <xdr:rowOff>97118</xdr:rowOff>
    </xdr:from>
    <xdr:to>
      <xdr:col>9</xdr:col>
      <xdr:colOff>351934</xdr:colOff>
      <xdr:row>31</xdr:row>
      <xdr:rowOff>61761</xdr:rowOff>
    </xdr:to>
    <xdr:sp>
      <xdr:nvSpPr>
        <xdr:cNvPr id="17" name="Oval 81"/>
        <xdr:cNvSpPr/>
      </xdr:nvSpPr>
      <xdr:spPr>
        <a:xfrm>
          <a:off x="6454775" y="5881370"/>
          <a:ext cx="234315" cy="33020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A</a:t>
          </a:r>
          <a:endParaRPr lang="x-none" altLang="en-US" sz="1100"/>
        </a:p>
      </xdr:txBody>
    </xdr:sp>
    <xdr:clientData/>
  </xdr:twoCellAnchor>
  <xdr:twoCellAnchor>
    <xdr:from>
      <xdr:col>6</xdr:col>
      <xdr:colOff>652928</xdr:colOff>
      <xdr:row>37</xdr:row>
      <xdr:rowOff>55282</xdr:rowOff>
    </xdr:from>
    <xdr:to>
      <xdr:col>12</xdr:col>
      <xdr:colOff>1492</xdr:colOff>
      <xdr:row>37</xdr:row>
      <xdr:rowOff>95124</xdr:rowOff>
    </xdr:to>
    <xdr:cxnSp>
      <xdr:nvCxnSpPr>
        <xdr:cNvPr id="19" name="Connector: Curved 79"/>
        <xdr:cNvCxnSpPr/>
      </xdr:nvCxnSpPr>
      <xdr:spPr>
        <a:xfrm>
          <a:off x="5008880" y="7291070"/>
          <a:ext cx="3310890" cy="3937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128312</xdr:colOff>
      <xdr:row>34</xdr:row>
      <xdr:rowOff>152400</xdr:rowOff>
    </xdr:from>
    <xdr:to>
      <xdr:col>9</xdr:col>
      <xdr:colOff>362392</xdr:colOff>
      <xdr:row>36</xdr:row>
      <xdr:rowOff>124514</xdr:rowOff>
    </xdr:to>
    <xdr:sp>
      <xdr:nvSpPr>
        <xdr:cNvPr id="20" name="Oval 81"/>
        <xdr:cNvSpPr/>
      </xdr:nvSpPr>
      <xdr:spPr>
        <a:xfrm>
          <a:off x="6465570" y="6845300"/>
          <a:ext cx="233680" cy="33718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B</a:t>
          </a:r>
          <a:endParaRPr lang="x-none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2"/>
  <sheetViews>
    <sheetView zoomScale="85" zoomScaleNormal="85" workbookViewId="0">
      <selection activeCell="R37" sqref="R37"/>
    </sheetView>
  </sheetViews>
  <sheetFormatPr defaultColWidth="8.66666666666667" defaultRowHeight="14"/>
  <cols>
    <col min="1" max="1" width="8.66666666666667" style="48"/>
    <col min="2" max="2" width="13.8333333333333" style="48" customWidth="1"/>
    <col min="3" max="16" width="8.66666666666667" style="48"/>
    <col min="17" max="17" width="10.5833333333333" style="48" customWidth="1"/>
    <col min="18" max="16384" width="8.66666666666667" style="48"/>
  </cols>
  <sheetData>
    <row r="1" spans="1:19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ht="14.75" spans="1:19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ht="14.75" spans="1:19">
      <c r="A4" s="49"/>
      <c r="B4" s="49"/>
      <c r="C4" s="49"/>
      <c r="D4" s="49"/>
      <c r="E4" s="50" t="s">
        <v>0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ht="28.75" spans="1:19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51" t="s">
        <v>1</v>
      </c>
      <c r="R5" s="49"/>
      <c r="S5" s="49"/>
    </row>
    <row r="6" spans="1:19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19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ht="14.75" spans="1:19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ht="28.75" spans="1:1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51" t="s">
        <v>2</v>
      </c>
      <c r="R9" s="49"/>
      <c r="S9" s="49"/>
    </row>
    <row r="10" spans="1:19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ht="14.75" spans="1:19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</row>
    <row r="12" ht="14.75" spans="1:19">
      <c r="A12" s="49"/>
      <c r="B12" s="49"/>
      <c r="C12" s="49"/>
      <c r="D12" s="49"/>
      <c r="E12" s="49"/>
      <c r="F12" s="52" t="s">
        <v>3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</row>
    <row r="13" spans="1:19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3" t="s">
        <v>4</v>
      </c>
      <c r="M13" s="49"/>
      <c r="N13" s="49"/>
      <c r="O13" s="49"/>
      <c r="P13" s="49"/>
      <c r="Q13" s="49"/>
      <c r="R13" s="49"/>
      <c r="S13" s="49"/>
    </row>
    <row r="14" ht="14.75" spans="1:19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54"/>
      <c r="M14" s="49"/>
      <c r="N14" s="49"/>
      <c r="O14" s="49"/>
      <c r="P14" s="49"/>
      <c r="Q14" s="49"/>
      <c r="R14" s="49"/>
      <c r="S14" s="49"/>
    </row>
    <row r="15" spans="1:19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</row>
    <row r="16" ht="14.75" spans="1:19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</row>
    <row r="17" ht="28.75" spans="1:19">
      <c r="A17" s="49"/>
      <c r="B17" s="51" t="s">
        <v>5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</row>
    <row r="18" spans="1:19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</row>
    <row r="19" spans="1: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</row>
    <row r="20" spans="1:19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</row>
    <row r="21" spans="1:19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</row>
    <row r="22" spans="1:19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</row>
    <row r="23" spans="1:19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</row>
    <row r="24" spans="1:19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</row>
    <row r="25" spans="1:19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</row>
    <row r="26" spans="1:19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</row>
    <row r="27" spans="1:19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</row>
    <row r="29" spans="1:19"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1:19"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</row>
    <row r="31" ht="14.75" spans="1:19"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</row>
    <row r="32" spans="1:19">
      <c r="D32" s="55"/>
      <c r="E32" s="55"/>
      <c r="F32" s="55"/>
      <c r="G32" s="56" t="s">
        <v>0</v>
      </c>
      <c r="H32" s="55"/>
      <c r="I32" s="55"/>
      <c r="J32" s="55"/>
      <c r="K32" s="55"/>
      <c r="L32" s="55"/>
      <c r="M32" s="56" t="s">
        <v>6</v>
      </c>
      <c r="N32" s="55"/>
      <c r="O32" s="55"/>
      <c r="P32" s="55"/>
    </row>
    <row r="33" ht="14.75" spans="4:16">
      <c r="D33" s="55"/>
      <c r="E33" s="55"/>
      <c r="F33" s="55"/>
      <c r="G33" s="57"/>
      <c r="H33" s="55"/>
      <c r="I33" s="55"/>
      <c r="J33" s="55"/>
      <c r="K33" s="55"/>
      <c r="L33" s="55"/>
      <c r="M33" s="57"/>
      <c r="N33" s="55"/>
      <c r="O33" s="55"/>
      <c r="P33" s="55"/>
    </row>
    <row r="34" spans="4:16"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4:16"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ht="14.75" spans="4:16"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4:16">
      <c r="D37" s="55"/>
      <c r="E37" s="55"/>
      <c r="F37" s="55"/>
      <c r="G37" s="56" t="s">
        <v>7</v>
      </c>
      <c r="H37" s="55"/>
      <c r="I37" s="55"/>
      <c r="J37" s="55"/>
      <c r="K37" s="55"/>
      <c r="L37" s="55"/>
      <c r="M37" s="56" t="s">
        <v>8</v>
      </c>
      <c r="N37" s="55"/>
      <c r="O37" s="55"/>
      <c r="P37" s="55"/>
    </row>
    <row r="38" ht="14.75" spans="4:16">
      <c r="D38" s="55"/>
      <c r="E38" s="55"/>
      <c r="F38" s="55"/>
      <c r="G38" s="57"/>
      <c r="H38" s="55"/>
      <c r="I38" s="55"/>
      <c r="J38" s="55"/>
      <c r="K38" s="55"/>
      <c r="L38" s="55"/>
      <c r="M38" s="57"/>
      <c r="N38" s="55"/>
      <c r="O38" s="55"/>
      <c r="P38" s="55"/>
    </row>
    <row r="39" spans="4:16"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</row>
    <row r="40" spans="4:16"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</row>
    <row r="41" spans="4:16"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</row>
    <row r="42" spans="4:16"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</row>
  </sheetData>
  <mergeCells count="5">
    <mergeCell ref="G32:G33"/>
    <mergeCell ref="G37:G38"/>
    <mergeCell ref="L13:L14"/>
    <mergeCell ref="M32:M33"/>
    <mergeCell ref="M37:M38"/>
  </mergeCells>
  <pageMargins left="0.708661417322835" right="0.708661417322835" top="0.748031496062992" bottom="0.748031496062992" header="0.31496062992126" footer="0.31496062992126"/>
  <pageSetup paperSize="9" scale="74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4"/>
  <sheetViews>
    <sheetView zoomScale="70" zoomScaleNormal="70" workbookViewId="0">
      <pane xSplit="4" ySplit="2" topLeftCell="Y3" activePane="bottomRight" state="frozen"/>
      <selection/>
      <selection pane="topRight"/>
      <selection pane="bottomLeft"/>
      <selection pane="bottomRight" activeCell="AF1" sqref="AF$1:AF$1048576"/>
    </sheetView>
  </sheetViews>
  <sheetFormatPr defaultColWidth="8.66666666666667" defaultRowHeight="14"/>
  <cols>
    <col min="1" max="1" width="6.41666666666667" style="26" customWidth="1"/>
    <col min="2" max="2" width="10.6666666666667" style="26" customWidth="1"/>
    <col min="3" max="3" width="23.1666666666667" style="26" customWidth="1"/>
    <col min="4" max="4" width="18.75" style="26" customWidth="1"/>
    <col min="5" max="5" width="8.75" style="26" customWidth="1"/>
    <col min="6" max="6" width="7.91666666666667" style="26" customWidth="1"/>
    <col min="7" max="7" width="13.9166666666667" style="26" customWidth="1"/>
    <col min="8" max="8" width="7.91666666666667" style="26" customWidth="1"/>
    <col min="9" max="9" width="10.0833333333333" style="26" customWidth="1"/>
    <col min="10" max="10" width="12.4166666666667" style="26" customWidth="1"/>
    <col min="11" max="11" width="7.41666666666667" style="26" customWidth="1"/>
    <col min="12" max="12" width="8.08333333333333" style="26" customWidth="1"/>
    <col min="13" max="13" width="13.25" style="26" customWidth="1"/>
    <col min="14" max="14" width="26" style="27" customWidth="1"/>
    <col min="15" max="15" width="22.3333333333333" style="26" customWidth="1"/>
    <col min="16" max="16" width="15.0833333333333" style="26" customWidth="1"/>
    <col min="17" max="18" width="13.6666666666667" style="26" customWidth="1"/>
    <col min="19" max="19" width="13.6666666666667" style="27" customWidth="1"/>
    <col min="20" max="21" width="21.1666666666667" style="26" customWidth="1"/>
    <col min="22" max="22" width="11.1666666666667" style="26" customWidth="1"/>
    <col min="23" max="23" width="12.0833333333333" style="26" customWidth="1"/>
    <col min="24" max="24" width="11.1666666666667" style="26" customWidth="1"/>
    <col min="25" max="25" width="17.9166666666667" style="26" customWidth="1"/>
    <col min="26" max="26" width="15.25" style="26" customWidth="1"/>
    <col min="27" max="28" width="17.0833333333333" style="26" customWidth="1"/>
    <col min="29" max="29" width="14.5" style="26" customWidth="1"/>
    <col min="30" max="30" width="12.6666666666667" style="26" customWidth="1"/>
    <col min="31" max="31" width="11.5" style="26" customWidth="1"/>
    <col min="32" max="32" width="14.8333333333333" style="26" customWidth="1"/>
    <col min="33" max="16384" width="8.66666666666667" style="26"/>
  </cols>
  <sheetData>
    <row r="1" spans="1:33">
      <c r="N1" s="27">
        <v>1</v>
      </c>
      <c r="O1" s="26">
        <v>2</v>
      </c>
      <c r="P1" s="26">
        <v>3</v>
      </c>
      <c r="Q1" s="26">
        <v>4</v>
      </c>
      <c r="R1" s="26">
        <v>5</v>
      </c>
      <c r="S1" s="27">
        <v>6</v>
      </c>
      <c r="T1" s="26">
        <v>7</v>
      </c>
      <c r="U1" s="26">
        <v>8</v>
      </c>
      <c r="V1" s="26">
        <v>9</v>
      </c>
      <c r="W1" s="26">
        <v>10</v>
      </c>
      <c r="X1" s="41">
        <v>11</v>
      </c>
      <c r="Y1" s="26">
        <v>12</v>
      </c>
      <c r="Z1" s="42">
        <v>13</v>
      </c>
      <c r="AA1" s="26">
        <v>14</v>
      </c>
      <c r="AB1" s="26">
        <v>15</v>
      </c>
      <c r="AC1" s="26">
        <v>16</v>
      </c>
      <c r="AD1" s="26">
        <v>17</v>
      </c>
      <c r="AE1" s="26">
        <v>18</v>
      </c>
      <c r="AF1" s="26">
        <v>19</v>
      </c>
      <c r="AG1" s="26">
        <v>20</v>
      </c>
    </row>
    <row r="2" spans="1:33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43" t="s">
        <v>14</v>
      </c>
      <c r="G2" s="43" t="s">
        <v>15</v>
      </c>
      <c r="H2" s="43" t="s">
        <v>16</v>
      </c>
      <c r="I2" s="19" t="s">
        <v>17</v>
      </c>
      <c r="J2" s="19" t="s">
        <v>18</v>
      </c>
      <c r="K2" s="19" t="s">
        <v>19</v>
      </c>
      <c r="L2" s="43" t="s">
        <v>20</v>
      </c>
      <c r="M2" s="19" t="s">
        <v>21</v>
      </c>
      <c r="N2" s="44" t="s">
        <v>22</v>
      </c>
      <c r="O2" s="19" t="s">
        <v>23</v>
      </c>
      <c r="P2" s="19" t="s">
        <v>24</v>
      </c>
      <c r="Q2" s="19" t="s">
        <v>25</v>
      </c>
      <c r="R2" s="19" t="s">
        <v>26</v>
      </c>
      <c r="S2" s="44" t="s">
        <v>27</v>
      </c>
      <c r="T2" s="19" t="s">
        <v>28</v>
      </c>
      <c r="U2" s="19" t="s">
        <v>29</v>
      </c>
      <c r="V2" s="19" t="s">
        <v>30</v>
      </c>
      <c r="W2" s="19" t="s">
        <v>31</v>
      </c>
      <c r="X2" s="19" t="s">
        <v>32</v>
      </c>
      <c r="Y2" s="45" t="s">
        <v>33</v>
      </c>
      <c r="Z2" s="19" t="s">
        <v>34</v>
      </c>
      <c r="AA2" s="19" t="s">
        <v>35</v>
      </c>
      <c r="AB2" s="19" t="s">
        <v>36</v>
      </c>
      <c r="AC2" s="19" t="s">
        <v>37</v>
      </c>
      <c r="AD2" s="19" t="s">
        <v>38</v>
      </c>
      <c r="AE2" s="19" t="s">
        <v>39</v>
      </c>
      <c r="AF2" s="19" t="s">
        <v>40</v>
      </c>
      <c r="AG2" s="19" t="s">
        <v>41</v>
      </c>
    </row>
    <row r="3" spans="1:33">
      <c r="A3" s="46" t="s">
        <v>42</v>
      </c>
      <c r="B3" s="46" t="s">
        <v>0</v>
      </c>
      <c r="C3" s="46" t="s">
        <v>43</v>
      </c>
      <c r="D3" s="46" t="s">
        <v>44</v>
      </c>
      <c r="E3" s="46" t="s">
        <v>45</v>
      </c>
      <c r="F3" s="46" t="s">
        <v>46</v>
      </c>
      <c r="G3" s="31" t="s">
        <v>46</v>
      </c>
      <c r="H3" s="46" t="s">
        <v>46</v>
      </c>
      <c r="I3" s="46" t="s">
        <v>47</v>
      </c>
      <c r="J3" s="31" t="s">
        <v>48</v>
      </c>
      <c r="K3" s="31" t="s">
        <v>48</v>
      </c>
      <c r="L3" s="46">
        <f>SUM(N4:AG4)</f>
        <v>23054.3</v>
      </c>
      <c r="M3" s="33" t="s">
        <v>49</v>
      </c>
      <c r="N3" s="44" t="s">
        <v>50</v>
      </c>
      <c r="O3" s="33"/>
      <c r="P3" s="33" t="s">
        <v>51</v>
      </c>
      <c r="Q3" s="33" t="s">
        <v>52</v>
      </c>
      <c r="R3" s="33"/>
      <c r="S3" s="44" t="s">
        <v>53</v>
      </c>
      <c r="T3" s="33" t="s">
        <v>54</v>
      </c>
      <c r="U3" s="33"/>
      <c r="V3" s="33"/>
      <c r="W3" s="33"/>
      <c r="X3" s="33"/>
      <c r="Y3" s="33" t="s">
        <v>55</v>
      </c>
      <c r="Z3" s="33" t="s">
        <v>56</v>
      </c>
      <c r="AA3" s="33" t="s">
        <v>57</v>
      </c>
      <c r="AB3" s="33" t="s">
        <v>58</v>
      </c>
      <c r="AC3" s="33"/>
      <c r="AD3" s="33" t="s">
        <v>58</v>
      </c>
      <c r="AE3" s="33" t="s">
        <v>58</v>
      </c>
      <c r="AF3" s="33" t="s">
        <v>59</v>
      </c>
      <c r="AG3" s="33"/>
    </row>
    <row r="4" spans="1:33">
      <c r="A4" s="46"/>
      <c r="B4" s="46"/>
      <c r="C4" s="46"/>
      <c r="D4" s="46"/>
      <c r="E4" s="46"/>
      <c r="F4" s="46"/>
      <c r="G4" s="35"/>
      <c r="H4" s="46"/>
      <c r="I4" s="46"/>
      <c r="J4" s="35"/>
      <c r="K4" s="35"/>
      <c r="L4" s="46"/>
      <c r="M4" s="33" t="s">
        <v>60</v>
      </c>
      <c r="N4" s="44">
        <v>1550</v>
      </c>
      <c r="O4" s="33"/>
      <c r="P4" s="33">
        <v>513</v>
      </c>
      <c r="Q4" s="33">
        <v>57</v>
      </c>
      <c r="R4" s="33"/>
      <c r="S4" s="44">
        <v>786.6</v>
      </c>
      <c r="T4" s="33">
        <v>62.7</v>
      </c>
      <c r="U4" s="33"/>
      <c r="V4" s="33"/>
      <c r="W4" s="33"/>
      <c r="X4" s="33"/>
      <c r="Y4" s="33">
        <v>2574</v>
      </c>
      <c r="Z4" s="33">
        <v>4290</v>
      </c>
      <c r="AA4" s="33">
        <v>3900</v>
      </c>
      <c r="AB4" s="33">
        <v>624</v>
      </c>
      <c r="AC4" s="33"/>
      <c r="AD4" s="33">
        <v>624</v>
      </c>
      <c r="AE4" s="33">
        <v>624</v>
      </c>
      <c r="AF4" s="33">
        <v>7449</v>
      </c>
      <c r="AG4" s="33"/>
    </row>
    <row r="5" spans="1:33">
      <c r="A5" s="46" t="s">
        <v>42</v>
      </c>
      <c r="B5" s="46" t="s">
        <v>0</v>
      </c>
      <c r="C5" s="46" t="s">
        <v>43</v>
      </c>
      <c r="D5" s="46" t="s">
        <v>44</v>
      </c>
      <c r="E5" s="46" t="s">
        <v>61</v>
      </c>
      <c r="F5" s="46" t="s">
        <v>46</v>
      </c>
      <c r="G5" s="46" t="s">
        <v>46</v>
      </c>
      <c r="H5" s="46" t="s">
        <v>46</v>
      </c>
      <c r="I5" s="46" t="s">
        <v>47</v>
      </c>
      <c r="J5" s="31" t="s">
        <v>48</v>
      </c>
      <c r="K5" s="31" t="s">
        <v>48</v>
      </c>
      <c r="L5" s="46">
        <f>SUM(N6:AG6)</f>
        <v>30016.7</v>
      </c>
      <c r="M5" s="33" t="s">
        <v>49</v>
      </c>
      <c r="N5" s="44" t="s">
        <v>50</v>
      </c>
      <c r="O5" s="33"/>
      <c r="P5" s="33" t="s">
        <v>51</v>
      </c>
      <c r="Q5" s="33" t="s">
        <v>52</v>
      </c>
      <c r="R5" s="33"/>
      <c r="S5" s="44" t="s">
        <v>62</v>
      </c>
      <c r="T5" s="33" t="s">
        <v>54</v>
      </c>
      <c r="U5" s="33"/>
      <c r="V5" s="33"/>
      <c r="W5" s="33"/>
      <c r="X5" s="33"/>
      <c r="Y5" s="33" t="s">
        <v>63</v>
      </c>
      <c r="Z5" s="33" t="s">
        <v>64</v>
      </c>
      <c r="AA5" s="33" t="s">
        <v>65</v>
      </c>
      <c r="AB5" s="33" t="s">
        <v>58</v>
      </c>
      <c r="AC5" s="33"/>
      <c r="AD5" s="33" t="s">
        <v>58</v>
      </c>
      <c r="AE5" s="33" t="s">
        <v>58</v>
      </c>
      <c r="AF5" s="33" t="s">
        <v>66</v>
      </c>
      <c r="AG5" s="33"/>
    </row>
    <row r="6" spans="1:33">
      <c r="A6" s="46"/>
      <c r="B6" s="46"/>
      <c r="C6" s="46"/>
      <c r="D6" s="46"/>
      <c r="E6" s="46"/>
      <c r="F6" s="46"/>
      <c r="G6" s="46"/>
      <c r="H6" s="46"/>
      <c r="I6" s="46"/>
      <c r="J6" s="35"/>
      <c r="K6" s="35"/>
      <c r="L6" s="46"/>
      <c r="M6" s="33" t="s">
        <v>60</v>
      </c>
      <c r="N6" s="44">
        <v>1550</v>
      </c>
      <c r="O6" s="33"/>
      <c r="P6" s="33">
        <v>513</v>
      </c>
      <c r="Q6" s="33">
        <v>57</v>
      </c>
      <c r="R6" s="33"/>
      <c r="S6" s="44">
        <v>1197</v>
      </c>
      <c r="T6" s="33">
        <v>62.7</v>
      </c>
      <c r="U6" s="33"/>
      <c r="V6" s="33"/>
      <c r="W6" s="33"/>
      <c r="X6" s="33"/>
      <c r="Y6" s="33">
        <v>3939</v>
      </c>
      <c r="Z6" s="33">
        <v>7176</v>
      </c>
      <c r="AA6" s="33">
        <v>5460</v>
      </c>
      <c r="AB6" s="33">
        <v>624</v>
      </c>
      <c r="AC6" s="33"/>
      <c r="AD6" s="33">
        <v>624</v>
      </c>
      <c r="AE6" s="33">
        <v>624</v>
      </c>
      <c r="AF6" s="33">
        <v>8190</v>
      </c>
      <c r="AG6" s="33"/>
    </row>
    <row r="7" spans="1:33">
      <c r="A7" s="46" t="s">
        <v>42</v>
      </c>
      <c r="B7" s="46" t="s">
        <v>0</v>
      </c>
      <c r="C7" s="46" t="s">
        <v>67</v>
      </c>
      <c r="D7" s="46" t="s">
        <v>68</v>
      </c>
      <c r="E7" s="46" t="s">
        <v>45</v>
      </c>
      <c r="F7" s="46" t="s">
        <v>46</v>
      </c>
      <c r="G7" s="31" t="s">
        <v>46</v>
      </c>
      <c r="H7" s="46" t="s">
        <v>46</v>
      </c>
      <c r="I7" s="46" t="s">
        <v>47</v>
      </c>
      <c r="J7" s="31" t="s">
        <v>48</v>
      </c>
      <c r="K7" s="31" t="s">
        <v>48</v>
      </c>
      <c r="L7" s="46">
        <f>SUM(N8:AG8)</f>
        <v>20870.3</v>
      </c>
      <c r="M7" s="33" t="s">
        <v>49</v>
      </c>
      <c r="N7" s="44" t="s">
        <v>50</v>
      </c>
      <c r="O7" s="33"/>
      <c r="P7" s="33" t="s">
        <v>51</v>
      </c>
      <c r="Q7" s="33" t="s">
        <v>52</v>
      </c>
      <c r="R7" s="33"/>
      <c r="S7" s="44" t="s">
        <v>53</v>
      </c>
      <c r="T7" s="33" t="s">
        <v>54</v>
      </c>
      <c r="U7" s="33"/>
      <c r="V7" s="33"/>
      <c r="W7" s="33"/>
      <c r="X7" s="33"/>
      <c r="Y7" s="33" t="s">
        <v>69</v>
      </c>
      <c r="Z7" s="33" t="s">
        <v>56</v>
      </c>
      <c r="AA7" s="33" t="s">
        <v>70</v>
      </c>
      <c r="AB7" s="33"/>
      <c r="AC7" s="33"/>
      <c r="AD7" s="33" t="s">
        <v>71</v>
      </c>
      <c r="AE7" s="33" t="s">
        <v>58</v>
      </c>
      <c r="AF7" s="33" t="s">
        <v>72</v>
      </c>
      <c r="AG7" s="33"/>
    </row>
    <row r="8" spans="1:33">
      <c r="A8" s="46"/>
      <c r="B8" s="46"/>
      <c r="C8" s="46"/>
      <c r="D8" s="46"/>
      <c r="E8" s="46"/>
      <c r="F8" s="46"/>
      <c r="G8" s="35"/>
      <c r="H8" s="46"/>
      <c r="I8" s="46"/>
      <c r="J8" s="35"/>
      <c r="K8" s="35"/>
      <c r="L8" s="46"/>
      <c r="M8" s="33" t="s">
        <v>60</v>
      </c>
      <c r="N8" s="44">
        <v>1550</v>
      </c>
      <c r="O8" s="33"/>
      <c r="P8" s="33">
        <v>513</v>
      </c>
      <c r="Q8" s="33">
        <v>57</v>
      </c>
      <c r="R8" s="33"/>
      <c r="S8" s="44">
        <v>786.6</v>
      </c>
      <c r="T8" s="33">
        <v>62.7</v>
      </c>
      <c r="U8" s="33"/>
      <c r="V8" s="33"/>
      <c r="W8" s="33"/>
      <c r="X8" s="33"/>
      <c r="Y8" s="33">
        <v>3432</v>
      </c>
      <c r="Z8" s="33">
        <v>4290</v>
      </c>
      <c r="AA8" s="33">
        <v>3783</v>
      </c>
      <c r="AB8" s="33"/>
      <c r="AC8" s="33"/>
      <c r="AD8" s="33">
        <v>1248</v>
      </c>
      <c r="AE8" s="33">
        <v>624</v>
      </c>
      <c r="AF8" s="33">
        <v>4524</v>
      </c>
      <c r="AG8" s="33"/>
    </row>
    <row r="9" spans="1:33">
      <c r="A9" s="46" t="s">
        <v>42</v>
      </c>
      <c r="B9" s="46" t="s">
        <v>0</v>
      </c>
      <c r="C9" s="46" t="s">
        <v>67</v>
      </c>
      <c r="D9" s="46" t="s">
        <v>68</v>
      </c>
      <c r="E9" s="46" t="s">
        <v>61</v>
      </c>
      <c r="F9" s="46" t="s">
        <v>46</v>
      </c>
      <c r="G9" s="46" t="s">
        <v>46</v>
      </c>
      <c r="H9" s="46" t="s">
        <v>46</v>
      </c>
      <c r="I9" s="46" t="s">
        <v>47</v>
      </c>
      <c r="J9" s="31" t="s">
        <v>48</v>
      </c>
      <c r="K9" s="31" t="s">
        <v>48</v>
      </c>
      <c r="L9" s="46">
        <f>SUM(N10:AG10)</f>
        <v>27871.7</v>
      </c>
      <c r="M9" s="33" t="s">
        <v>49</v>
      </c>
      <c r="N9" s="44" t="s">
        <v>50</v>
      </c>
      <c r="O9" s="33"/>
      <c r="P9" s="33" t="s">
        <v>51</v>
      </c>
      <c r="Q9" s="33" t="s">
        <v>52</v>
      </c>
      <c r="R9" s="33"/>
      <c r="S9" s="44" t="s">
        <v>62</v>
      </c>
      <c r="T9" s="33" t="s">
        <v>54</v>
      </c>
      <c r="U9" s="33"/>
      <c r="V9" s="33"/>
      <c r="W9" s="33"/>
      <c r="X9" s="33"/>
      <c r="Y9" s="33" t="s">
        <v>73</v>
      </c>
      <c r="Z9" s="33" t="s">
        <v>74</v>
      </c>
      <c r="AA9" s="33" t="s">
        <v>75</v>
      </c>
      <c r="AB9" s="33"/>
      <c r="AC9" s="33"/>
      <c r="AD9" s="33" t="s">
        <v>71</v>
      </c>
      <c r="AE9" s="33" t="s">
        <v>58</v>
      </c>
      <c r="AF9" s="33" t="s">
        <v>76</v>
      </c>
      <c r="AG9" s="33"/>
    </row>
    <row r="10" spans="1:33">
      <c r="A10" s="46"/>
      <c r="B10" s="46"/>
      <c r="C10" s="46"/>
      <c r="D10" s="46"/>
      <c r="E10" s="46"/>
      <c r="F10" s="46"/>
      <c r="G10" s="46"/>
      <c r="H10" s="46"/>
      <c r="I10" s="46"/>
      <c r="J10" s="35"/>
      <c r="K10" s="35"/>
      <c r="L10" s="46"/>
      <c r="M10" s="33" t="s">
        <v>60</v>
      </c>
      <c r="N10" s="44">
        <v>1550</v>
      </c>
      <c r="O10" s="33"/>
      <c r="P10" s="33">
        <v>513</v>
      </c>
      <c r="Q10" s="33">
        <v>57</v>
      </c>
      <c r="R10" s="33"/>
      <c r="S10" s="44">
        <v>1197</v>
      </c>
      <c r="T10" s="33">
        <v>62.7</v>
      </c>
      <c r="U10" s="33"/>
      <c r="V10" s="33"/>
      <c r="W10" s="33"/>
      <c r="X10" s="33"/>
      <c r="Y10" s="33">
        <v>5694</v>
      </c>
      <c r="Z10" s="33">
        <v>6630</v>
      </c>
      <c r="AA10" s="33">
        <v>5616</v>
      </c>
      <c r="AB10" s="33"/>
      <c r="AC10" s="33"/>
      <c r="AD10" s="33">
        <v>1248</v>
      </c>
      <c r="AE10" s="33">
        <v>624</v>
      </c>
      <c r="AF10" s="33">
        <v>4680</v>
      </c>
      <c r="AG10" s="33"/>
    </row>
    <row r="11" spans="1:33">
      <c r="A11" s="46" t="s">
        <v>42</v>
      </c>
      <c r="B11" s="46" t="s">
        <v>0</v>
      </c>
      <c r="C11" s="46" t="s">
        <v>77</v>
      </c>
      <c r="D11" s="46" t="s">
        <v>78</v>
      </c>
      <c r="E11" s="46" t="s">
        <v>45</v>
      </c>
      <c r="F11" s="46" t="s">
        <v>46</v>
      </c>
      <c r="G11" s="31" t="s">
        <v>46</v>
      </c>
      <c r="H11" s="46" t="s">
        <v>46</v>
      </c>
      <c r="I11" s="46" t="s">
        <v>47</v>
      </c>
      <c r="J11" s="31" t="s">
        <v>48</v>
      </c>
      <c r="K11" s="31" t="s">
        <v>48</v>
      </c>
      <c r="L11" s="46">
        <f>SUM(N12:AG12)</f>
        <v>17456.3</v>
      </c>
      <c r="M11" s="33" t="s">
        <v>49</v>
      </c>
      <c r="N11" s="44" t="s">
        <v>50</v>
      </c>
      <c r="O11" s="33"/>
      <c r="P11" s="33" t="s">
        <v>79</v>
      </c>
      <c r="Q11" s="33"/>
      <c r="R11" s="33"/>
      <c r="S11" s="44" t="s">
        <v>53</v>
      </c>
      <c r="T11" s="33" t="s">
        <v>80</v>
      </c>
      <c r="U11" s="33"/>
      <c r="V11" s="33"/>
      <c r="W11" s="33"/>
      <c r="X11" s="33"/>
      <c r="Y11" s="33" t="s">
        <v>81</v>
      </c>
      <c r="Z11" s="33" t="s">
        <v>82</v>
      </c>
      <c r="AA11" s="33"/>
      <c r="AB11" s="33"/>
      <c r="AC11" s="33" t="s">
        <v>83</v>
      </c>
      <c r="AD11" s="33" t="s">
        <v>84</v>
      </c>
      <c r="AE11" s="33"/>
      <c r="AF11" s="33" t="s">
        <v>85</v>
      </c>
      <c r="AG11" s="33" t="s">
        <v>86</v>
      </c>
    </row>
    <row r="12" spans="1:33">
      <c r="A12" s="46"/>
      <c r="B12" s="46"/>
      <c r="C12" s="46"/>
      <c r="D12" s="46"/>
      <c r="E12" s="46"/>
      <c r="F12" s="46"/>
      <c r="G12" s="35"/>
      <c r="H12" s="46"/>
      <c r="I12" s="46"/>
      <c r="J12" s="35"/>
      <c r="K12" s="35"/>
      <c r="L12" s="46"/>
      <c r="M12" s="33" t="s">
        <v>60</v>
      </c>
      <c r="N12" s="44">
        <v>1550</v>
      </c>
      <c r="O12" s="33"/>
      <c r="P12" s="33">
        <v>570</v>
      </c>
      <c r="Q12" s="33"/>
      <c r="R12" s="33"/>
      <c r="S12" s="44">
        <v>786.6</v>
      </c>
      <c r="T12" s="33">
        <v>119.7</v>
      </c>
      <c r="U12" s="33"/>
      <c r="V12" s="33"/>
      <c r="W12" s="33"/>
      <c r="X12" s="33"/>
      <c r="Y12" s="33">
        <v>7410</v>
      </c>
      <c r="Z12" s="33">
        <v>2301</v>
      </c>
      <c r="AA12" s="33"/>
      <c r="AB12" s="33"/>
      <c r="AC12" s="33">
        <v>390</v>
      </c>
      <c r="AD12" s="33">
        <v>702</v>
      </c>
      <c r="AE12" s="33"/>
      <c r="AF12" s="33">
        <v>2964</v>
      </c>
      <c r="AG12" s="33">
        <v>663</v>
      </c>
    </row>
    <row r="13" spans="1:33">
      <c r="A13" s="46" t="s">
        <v>42</v>
      </c>
      <c r="B13" s="46" t="s">
        <v>0</v>
      </c>
      <c r="C13" s="46" t="s">
        <v>77</v>
      </c>
      <c r="D13" s="46" t="s">
        <v>78</v>
      </c>
      <c r="E13" s="46" t="s">
        <v>61</v>
      </c>
      <c r="F13" s="46" t="s">
        <v>46</v>
      </c>
      <c r="G13" s="46" t="s">
        <v>46</v>
      </c>
      <c r="H13" s="46" t="s">
        <v>46</v>
      </c>
      <c r="I13" s="46" t="s">
        <v>47</v>
      </c>
      <c r="J13" s="31" t="s">
        <v>48</v>
      </c>
      <c r="K13" s="31" t="s">
        <v>48</v>
      </c>
      <c r="L13" s="46">
        <f>SUM(N14:AG14)</f>
        <v>27109.7</v>
      </c>
      <c r="M13" s="33" t="s">
        <v>49</v>
      </c>
      <c r="N13" s="44" t="s">
        <v>50</v>
      </c>
      <c r="O13" s="33"/>
      <c r="P13" s="33" t="s">
        <v>79</v>
      </c>
      <c r="Q13" s="33"/>
      <c r="R13" s="33"/>
      <c r="S13" s="44" t="s">
        <v>62</v>
      </c>
      <c r="T13" s="33" t="s">
        <v>87</v>
      </c>
      <c r="U13" s="33"/>
      <c r="V13" s="33"/>
      <c r="W13" s="33"/>
      <c r="X13" s="33"/>
      <c r="Y13" s="33" t="s">
        <v>88</v>
      </c>
      <c r="Z13" s="33" t="s">
        <v>89</v>
      </c>
      <c r="AA13" s="33"/>
      <c r="AB13" s="33"/>
      <c r="AC13" s="33" t="s">
        <v>90</v>
      </c>
      <c r="AD13" s="33" t="s">
        <v>84</v>
      </c>
      <c r="AE13" s="33"/>
      <c r="AF13" s="33" t="s">
        <v>91</v>
      </c>
      <c r="AG13" s="33" t="s">
        <v>86</v>
      </c>
    </row>
    <row r="14" spans="1:33">
      <c r="A14" s="46"/>
      <c r="B14" s="46"/>
      <c r="C14" s="46"/>
      <c r="D14" s="46"/>
      <c r="E14" s="46"/>
      <c r="F14" s="46"/>
      <c r="G14" s="46"/>
      <c r="H14" s="46"/>
      <c r="I14" s="46"/>
      <c r="J14" s="35"/>
      <c r="K14" s="35"/>
      <c r="L14" s="46"/>
      <c r="M14" s="33" t="s">
        <v>60</v>
      </c>
      <c r="N14" s="44">
        <v>1550</v>
      </c>
      <c r="O14" s="33"/>
      <c r="P14" s="33">
        <v>570</v>
      </c>
      <c r="Q14" s="33"/>
      <c r="R14" s="33"/>
      <c r="S14" s="44">
        <v>1197</v>
      </c>
      <c r="T14" s="33">
        <v>119.7</v>
      </c>
      <c r="U14" s="33"/>
      <c r="V14" s="33"/>
      <c r="W14" s="33"/>
      <c r="X14" s="33"/>
      <c r="Y14" s="33">
        <v>15210</v>
      </c>
      <c r="Z14" s="33">
        <v>2808</v>
      </c>
      <c r="AA14" s="33"/>
      <c r="AB14" s="33"/>
      <c r="AC14" s="33">
        <v>780</v>
      </c>
      <c r="AD14" s="33">
        <v>702</v>
      </c>
      <c r="AE14" s="33"/>
      <c r="AF14" s="33">
        <v>3510</v>
      </c>
      <c r="AG14" s="33">
        <v>663</v>
      </c>
    </row>
    <row r="15" spans="1:33">
      <c r="A15" s="46" t="s">
        <v>42</v>
      </c>
      <c r="B15" s="46" t="s">
        <v>42</v>
      </c>
      <c r="C15" s="46" t="s">
        <v>92</v>
      </c>
      <c r="D15" s="46" t="s">
        <v>93</v>
      </c>
      <c r="E15" s="46" t="s">
        <v>45</v>
      </c>
      <c r="F15" s="46" t="s">
        <v>46</v>
      </c>
      <c r="G15" s="31" t="s">
        <v>46</v>
      </c>
      <c r="H15" s="46" t="s">
        <v>46</v>
      </c>
      <c r="I15" s="46" t="s">
        <v>47</v>
      </c>
      <c r="J15" s="31" t="s">
        <v>48</v>
      </c>
      <c r="K15" s="31" t="s">
        <v>94</v>
      </c>
      <c r="L15" s="46">
        <f>SUM(N16:AG16)</f>
        <v>15580</v>
      </c>
      <c r="M15" s="33" t="s">
        <v>49</v>
      </c>
      <c r="N15" s="44" t="s">
        <v>95</v>
      </c>
      <c r="O15" s="33" t="s">
        <v>96</v>
      </c>
      <c r="P15" s="33" t="s">
        <v>97</v>
      </c>
      <c r="Q15" s="33" t="s">
        <v>98</v>
      </c>
      <c r="R15" s="33"/>
      <c r="S15" s="44" t="s">
        <v>99</v>
      </c>
      <c r="T15" s="33" t="s">
        <v>100</v>
      </c>
      <c r="U15" s="33"/>
      <c r="V15" s="33"/>
      <c r="W15" s="33"/>
      <c r="X15" s="33"/>
      <c r="Y15" s="33" t="s">
        <v>101</v>
      </c>
      <c r="Z15" s="33"/>
      <c r="AA15" s="33"/>
      <c r="AB15" s="33"/>
      <c r="AC15" s="33"/>
      <c r="AD15" s="33"/>
      <c r="AE15" s="33"/>
      <c r="AF15" s="33"/>
      <c r="AG15" s="33"/>
    </row>
    <row r="16" spans="1:33">
      <c r="A16" s="46"/>
      <c r="B16" s="46"/>
      <c r="C16" s="46"/>
      <c r="D16" s="46"/>
      <c r="E16" s="46"/>
      <c r="F16" s="46"/>
      <c r="G16" s="35"/>
      <c r="H16" s="46"/>
      <c r="I16" s="46"/>
      <c r="J16" s="35"/>
      <c r="K16" s="35"/>
      <c r="L16" s="46"/>
      <c r="M16" s="33" t="s">
        <v>60</v>
      </c>
      <c r="N16" s="44">
        <v>3900</v>
      </c>
      <c r="O16" s="33">
        <v>200</v>
      </c>
      <c r="P16" s="33">
        <v>640</v>
      </c>
      <c r="Q16" s="33">
        <v>300</v>
      </c>
      <c r="R16" s="33"/>
      <c r="S16" s="44">
        <v>2100</v>
      </c>
      <c r="T16" s="33">
        <v>110</v>
      </c>
      <c r="U16" s="33"/>
      <c r="V16" s="33"/>
      <c r="W16" s="33"/>
      <c r="X16" s="33"/>
      <c r="Y16" s="33">
        <v>8330</v>
      </c>
      <c r="Z16" s="33"/>
      <c r="AA16" s="33"/>
      <c r="AB16" s="33"/>
      <c r="AC16" s="33"/>
      <c r="AD16" s="33"/>
      <c r="AE16" s="33"/>
      <c r="AF16" s="33"/>
      <c r="AG16" s="33"/>
    </row>
    <row r="17" spans="1:33">
      <c r="A17" s="46" t="s">
        <v>42</v>
      </c>
      <c r="B17" s="46" t="s">
        <v>42</v>
      </c>
      <c r="C17" s="46" t="s">
        <v>92</v>
      </c>
      <c r="D17" s="46" t="s">
        <v>93</v>
      </c>
      <c r="E17" s="46" t="s">
        <v>61</v>
      </c>
      <c r="F17" s="46" t="s">
        <v>46</v>
      </c>
      <c r="G17" s="31" t="s">
        <v>46</v>
      </c>
      <c r="H17" s="46" t="s">
        <v>46</v>
      </c>
      <c r="I17" s="46" t="s">
        <v>47</v>
      </c>
      <c r="J17" s="31" t="s">
        <v>48</v>
      </c>
      <c r="K17" s="31" t="s">
        <v>94</v>
      </c>
      <c r="L17" s="46">
        <f>SUM(N18:AG18)</f>
        <v>23650</v>
      </c>
      <c r="M17" s="33" t="s">
        <v>49</v>
      </c>
      <c r="N17" s="44" t="s">
        <v>95</v>
      </c>
      <c r="O17" s="33" t="s">
        <v>96</v>
      </c>
      <c r="P17" s="33" t="s">
        <v>97</v>
      </c>
      <c r="Q17" s="33" t="s">
        <v>98</v>
      </c>
      <c r="R17" s="33"/>
      <c r="S17" s="44" t="s">
        <v>102</v>
      </c>
      <c r="T17" s="33" t="s">
        <v>100</v>
      </c>
      <c r="U17" s="33"/>
      <c r="V17" s="33"/>
      <c r="W17" s="33"/>
      <c r="X17" s="33"/>
      <c r="Y17" s="33" t="s">
        <v>103</v>
      </c>
      <c r="Z17" s="33"/>
      <c r="AA17" s="33"/>
      <c r="AB17" s="33"/>
      <c r="AC17" s="33"/>
      <c r="AD17" s="33"/>
      <c r="AE17" s="33"/>
      <c r="AF17" s="33"/>
      <c r="AG17" s="33"/>
    </row>
    <row r="18" spans="1:33">
      <c r="A18" s="46"/>
      <c r="B18" s="46"/>
      <c r="C18" s="46"/>
      <c r="D18" s="46"/>
      <c r="E18" s="46"/>
      <c r="F18" s="46"/>
      <c r="G18" s="35"/>
      <c r="H18" s="46"/>
      <c r="I18" s="46"/>
      <c r="J18" s="35"/>
      <c r="K18" s="35"/>
      <c r="L18" s="46"/>
      <c r="M18" s="33" t="s">
        <v>60</v>
      </c>
      <c r="N18" s="44">
        <v>3900</v>
      </c>
      <c r="O18" s="33">
        <v>200</v>
      </c>
      <c r="P18" s="33">
        <v>640</v>
      </c>
      <c r="Q18" s="33">
        <v>300</v>
      </c>
      <c r="R18" s="33"/>
      <c r="S18" s="44">
        <v>3050</v>
      </c>
      <c r="T18" s="33">
        <v>110</v>
      </c>
      <c r="U18" s="33"/>
      <c r="V18" s="33"/>
      <c r="W18" s="33"/>
      <c r="X18" s="33"/>
      <c r="Y18" s="33">
        <v>15450</v>
      </c>
      <c r="Z18" s="33"/>
      <c r="AA18" s="33"/>
      <c r="AB18" s="33"/>
      <c r="AC18" s="33"/>
      <c r="AD18" s="33"/>
      <c r="AE18" s="33"/>
      <c r="AF18" s="33"/>
      <c r="AG18" s="33"/>
    </row>
    <row r="19" spans="1:33">
      <c r="A19" s="46" t="s">
        <v>42</v>
      </c>
      <c r="B19" s="46" t="s">
        <v>42</v>
      </c>
      <c r="C19" s="46" t="s">
        <v>104</v>
      </c>
      <c r="D19" s="46" t="s">
        <v>93</v>
      </c>
      <c r="E19" s="46" t="s">
        <v>45</v>
      </c>
      <c r="F19" s="46" t="s">
        <v>46</v>
      </c>
      <c r="G19" s="46" t="s">
        <v>46</v>
      </c>
      <c r="H19" s="46" t="s">
        <v>46</v>
      </c>
      <c r="I19" s="46" t="s">
        <v>47</v>
      </c>
      <c r="J19" s="31" t="s">
        <v>48</v>
      </c>
      <c r="K19" s="31" t="s">
        <v>94</v>
      </c>
      <c r="L19" s="46">
        <f>SUM(N20:AG20)</f>
        <v>44433</v>
      </c>
      <c r="M19" s="33" t="s">
        <v>49</v>
      </c>
      <c r="N19" s="44" t="s">
        <v>105</v>
      </c>
      <c r="O19" s="33" t="s">
        <v>96</v>
      </c>
      <c r="P19" s="33" t="s">
        <v>97</v>
      </c>
      <c r="Q19" s="33" t="s">
        <v>98</v>
      </c>
      <c r="R19" s="33" t="s">
        <v>106</v>
      </c>
      <c r="S19" s="44" t="s">
        <v>99</v>
      </c>
      <c r="T19" s="33" t="s">
        <v>100</v>
      </c>
      <c r="U19" s="33"/>
      <c r="V19" s="33"/>
      <c r="W19" s="33"/>
      <c r="X19" s="33"/>
      <c r="Y19" s="33" t="s">
        <v>107</v>
      </c>
      <c r="Z19" s="33"/>
      <c r="AA19" s="33"/>
      <c r="AB19" s="33"/>
      <c r="AC19" s="33" t="s">
        <v>108</v>
      </c>
      <c r="AD19" s="33"/>
      <c r="AE19" s="33"/>
      <c r="AF19" s="33"/>
      <c r="AG19" s="33"/>
    </row>
    <row r="20" spans="1:33">
      <c r="A20" s="46"/>
      <c r="B20" s="46"/>
      <c r="C20" s="46"/>
      <c r="D20" s="46"/>
      <c r="E20" s="46"/>
      <c r="F20" s="46"/>
      <c r="G20" s="46"/>
      <c r="H20" s="46"/>
      <c r="I20" s="46"/>
      <c r="J20" s="35"/>
      <c r="K20" s="35"/>
      <c r="L20" s="46"/>
      <c r="M20" s="33" t="s">
        <v>60</v>
      </c>
      <c r="N20" s="44">
        <v>4500</v>
      </c>
      <c r="O20" s="33">
        <v>200</v>
      </c>
      <c r="P20" s="33">
        <v>640</v>
      </c>
      <c r="Q20" s="33">
        <v>300</v>
      </c>
      <c r="R20" s="33">
        <v>1863</v>
      </c>
      <c r="S20" s="44">
        <v>2100</v>
      </c>
      <c r="T20" s="33">
        <v>110</v>
      </c>
      <c r="U20" s="33"/>
      <c r="V20" s="33"/>
      <c r="W20" s="33"/>
      <c r="X20" s="33"/>
      <c r="Y20" s="33">
        <v>25109</v>
      </c>
      <c r="Z20" s="33"/>
      <c r="AA20" s="33"/>
      <c r="AB20" s="33"/>
      <c r="AC20" s="33">
        <v>9611</v>
      </c>
      <c r="AD20" s="33"/>
      <c r="AE20" s="33"/>
      <c r="AF20" s="33"/>
      <c r="AG20" s="33"/>
    </row>
    <row r="21" spans="1:33">
      <c r="A21" s="46" t="s">
        <v>42</v>
      </c>
      <c r="B21" s="46" t="s">
        <v>42</v>
      </c>
      <c r="C21" s="46" t="s">
        <v>109</v>
      </c>
      <c r="D21" s="46" t="s">
        <v>110</v>
      </c>
      <c r="E21" s="46" t="s">
        <v>46</v>
      </c>
      <c r="F21" s="46">
        <v>5.4</v>
      </c>
      <c r="G21" s="46">
        <v>1</v>
      </c>
      <c r="H21" s="46">
        <v>500</v>
      </c>
      <c r="I21" s="46" t="s">
        <v>111</v>
      </c>
      <c r="J21" s="31" t="s">
        <v>48</v>
      </c>
      <c r="K21" s="31" t="s">
        <v>112</v>
      </c>
      <c r="L21" s="46">
        <f>SUM(N22:AG22)</f>
        <v>10526.4</v>
      </c>
      <c r="M21" s="33" t="s">
        <v>49</v>
      </c>
      <c r="N21" s="44" t="s">
        <v>113</v>
      </c>
      <c r="O21" s="33" t="s">
        <v>96</v>
      </c>
      <c r="P21" s="33" t="s">
        <v>114</v>
      </c>
      <c r="Q21" s="33" t="s">
        <v>114</v>
      </c>
      <c r="R21" s="33"/>
      <c r="S21" s="44" t="s">
        <v>115</v>
      </c>
      <c r="T21" s="33" t="s">
        <v>116</v>
      </c>
      <c r="U21" s="33" t="s">
        <v>117</v>
      </c>
      <c r="V21" s="33" t="s">
        <v>118</v>
      </c>
      <c r="W21" s="33" t="s">
        <v>119</v>
      </c>
      <c r="X21" s="33" t="s">
        <v>120</v>
      </c>
      <c r="Y21" s="33" t="s">
        <v>121</v>
      </c>
      <c r="Z21" s="33" t="s">
        <v>122</v>
      </c>
      <c r="AA21" s="33"/>
      <c r="AB21" s="33"/>
      <c r="AC21" s="33" t="s">
        <v>123</v>
      </c>
      <c r="AD21" s="33"/>
      <c r="AE21" s="33"/>
      <c r="AF21" s="33" t="s">
        <v>124</v>
      </c>
      <c r="AG21" s="33"/>
    </row>
    <row r="22" spans="1:33">
      <c r="A22" s="46"/>
      <c r="B22" s="46"/>
      <c r="C22" s="46"/>
      <c r="D22" s="46"/>
      <c r="E22" s="46"/>
      <c r="F22" s="46"/>
      <c r="G22" s="46"/>
      <c r="H22" s="46"/>
      <c r="I22" s="46"/>
      <c r="J22" s="35"/>
      <c r="K22" s="35"/>
      <c r="L22" s="46"/>
      <c r="M22" s="33" t="s">
        <v>125</v>
      </c>
      <c r="N22" s="47">
        <v>405</v>
      </c>
      <c r="O22" s="33">
        <v>200</v>
      </c>
      <c r="P22" s="33">
        <v>250</v>
      </c>
      <c r="Q22" s="33">
        <v>250</v>
      </c>
      <c r="R22" s="33"/>
      <c r="S22" s="44">
        <f>198*F21</f>
        <v>1069.2</v>
      </c>
      <c r="T22" s="33">
        <v>25</v>
      </c>
      <c r="U22" s="33">
        <v>235</v>
      </c>
      <c r="V22" s="33">
        <v>195</v>
      </c>
      <c r="W22" s="33">
        <v>100</v>
      </c>
      <c r="X22" s="33">
        <v>5</v>
      </c>
      <c r="Y22" s="33">
        <f>115*7.8*F21</f>
        <v>4843.8</v>
      </c>
      <c r="Z22" s="33">
        <f>195*F21</f>
        <v>1053</v>
      </c>
      <c r="AA22" s="33"/>
      <c r="AB22" s="33"/>
      <c r="AC22" s="33">
        <v>748.8</v>
      </c>
      <c r="AD22" s="33"/>
      <c r="AE22" s="33"/>
      <c r="AF22" s="33">
        <v>1146.6</v>
      </c>
      <c r="AG22" s="33"/>
    </row>
    <row r="23" spans="1:33">
      <c r="A23" s="46" t="s">
        <v>42</v>
      </c>
      <c r="B23" s="46" t="s">
        <v>0</v>
      </c>
      <c r="C23" s="46" t="s">
        <v>126</v>
      </c>
      <c r="D23" s="46" t="s">
        <v>127</v>
      </c>
      <c r="E23" s="46" t="s">
        <v>45</v>
      </c>
      <c r="F23" s="46" t="s">
        <v>46</v>
      </c>
      <c r="G23" s="46" t="s">
        <v>46</v>
      </c>
      <c r="H23" s="46" t="s">
        <v>46</v>
      </c>
      <c r="I23" s="46" t="s">
        <v>47</v>
      </c>
      <c r="J23" s="31" t="s">
        <v>48</v>
      </c>
      <c r="K23" s="31" t="s">
        <v>128</v>
      </c>
      <c r="L23" s="46">
        <f>SUM(N24:AG24)</f>
        <v>5713</v>
      </c>
      <c r="M23" s="33" t="s">
        <v>49</v>
      </c>
      <c r="N23" s="44" t="s">
        <v>129</v>
      </c>
      <c r="O23" s="33"/>
      <c r="P23" s="33" t="s">
        <v>130</v>
      </c>
      <c r="Q23" s="33"/>
      <c r="R23" s="33"/>
      <c r="S23" s="44" t="s">
        <v>131</v>
      </c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>
      <c r="A24" s="46"/>
      <c r="B24" s="46"/>
      <c r="C24" s="46"/>
      <c r="D24" s="46"/>
      <c r="E24" s="46"/>
      <c r="F24" s="46"/>
      <c r="G24" s="46"/>
      <c r="H24" s="46"/>
      <c r="I24" s="46"/>
      <c r="J24" s="35"/>
      <c r="K24" s="35"/>
      <c r="L24" s="46"/>
      <c r="M24" s="33" t="s">
        <v>132</v>
      </c>
      <c r="N24" s="44">
        <v>1482</v>
      </c>
      <c r="O24" s="33"/>
      <c r="P24" s="33">
        <v>3091</v>
      </c>
      <c r="Q24" s="33"/>
      <c r="R24" s="33"/>
      <c r="S24" s="44">
        <v>1140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>
      <c r="A25" s="46" t="s">
        <v>42</v>
      </c>
      <c r="B25" s="46" t="s">
        <v>0</v>
      </c>
      <c r="C25" s="46" t="s">
        <v>126</v>
      </c>
      <c r="D25" s="46" t="s">
        <v>127</v>
      </c>
      <c r="E25" s="46" t="s">
        <v>61</v>
      </c>
      <c r="F25" s="46" t="s">
        <v>46</v>
      </c>
      <c r="G25" s="46" t="s">
        <v>46</v>
      </c>
      <c r="H25" s="46" t="s">
        <v>46</v>
      </c>
      <c r="I25" s="46" t="s">
        <v>47</v>
      </c>
      <c r="J25" s="31" t="s">
        <v>48</v>
      </c>
      <c r="K25" s="31" t="s">
        <v>128</v>
      </c>
      <c r="L25" s="46">
        <f>SUM(N26:AG26)</f>
        <v>6682</v>
      </c>
      <c r="M25" s="33" t="s">
        <v>49</v>
      </c>
      <c r="N25" s="44" t="s">
        <v>129</v>
      </c>
      <c r="O25" s="33"/>
      <c r="P25" s="33" t="s">
        <v>130</v>
      </c>
      <c r="Q25" s="33"/>
      <c r="R25" s="33"/>
      <c r="S25" s="44" t="s">
        <v>133</v>
      </c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>
      <c r="A26" s="46"/>
      <c r="B26" s="46"/>
      <c r="C26" s="46"/>
      <c r="D26" s="46"/>
      <c r="E26" s="46"/>
      <c r="F26" s="46"/>
      <c r="G26" s="46"/>
      <c r="H26" s="46"/>
      <c r="I26" s="46"/>
      <c r="J26" s="35"/>
      <c r="K26" s="35"/>
      <c r="L26" s="46"/>
      <c r="M26" s="33" t="s">
        <v>132</v>
      </c>
      <c r="N26" s="44">
        <v>1482</v>
      </c>
      <c r="O26" s="33"/>
      <c r="P26" s="33">
        <v>3091</v>
      </c>
      <c r="Q26" s="33"/>
      <c r="R26" s="33"/>
      <c r="S26" s="44">
        <v>2109</v>
      </c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>
      <c r="A27" s="46" t="s">
        <v>42</v>
      </c>
      <c r="B27" s="46" t="s">
        <v>42</v>
      </c>
      <c r="C27" s="46" t="s">
        <v>126</v>
      </c>
      <c r="D27" s="46" t="s">
        <v>134</v>
      </c>
      <c r="E27" s="46" t="s">
        <v>45</v>
      </c>
      <c r="F27" s="46" t="s">
        <v>46</v>
      </c>
      <c r="G27" s="46" t="s">
        <v>46</v>
      </c>
      <c r="H27" s="46" t="s">
        <v>46</v>
      </c>
      <c r="I27" s="46" t="s">
        <v>47</v>
      </c>
      <c r="J27" s="31" t="s">
        <v>48</v>
      </c>
      <c r="K27" s="31" t="s">
        <v>112</v>
      </c>
      <c r="L27" s="46">
        <f>SUM(N28:AG28)</f>
        <v>8091</v>
      </c>
      <c r="M27" s="33" t="s">
        <v>49</v>
      </c>
      <c r="N27" s="44" t="s">
        <v>135</v>
      </c>
      <c r="O27" s="33" t="s">
        <v>96</v>
      </c>
      <c r="P27" s="33" t="s">
        <v>130</v>
      </c>
      <c r="Q27" s="33"/>
      <c r="R27" s="33"/>
      <c r="S27" s="44" t="s">
        <v>136</v>
      </c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>
      <c r="A28" s="46"/>
      <c r="B28" s="46"/>
      <c r="C28" s="46"/>
      <c r="D28" s="46"/>
      <c r="E28" s="46"/>
      <c r="F28" s="46"/>
      <c r="G28" s="46"/>
      <c r="H28" s="46"/>
      <c r="I28" s="46"/>
      <c r="J28" s="35"/>
      <c r="K28" s="35"/>
      <c r="L28" s="46"/>
      <c r="M28" s="33" t="s">
        <v>132</v>
      </c>
      <c r="N28" s="44">
        <v>2600</v>
      </c>
      <c r="O28" s="33">
        <v>200</v>
      </c>
      <c r="P28" s="33">
        <v>3091</v>
      </c>
      <c r="Q28" s="33"/>
      <c r="R28" s="33"/>
      <c r="S28" s="44">
        <v>2200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>
      <c r="A29" s="46" t="s">
        <v>42</v>
      </c>
      <c r="B29" s="46" t="s">
        <v>42</v>
      </c>
      <c r="C29" s="46" t="s">
        <v>126</v>
      </c>
      <c r="D29" s="46" t="s">
        <v>134</v>
      </c>
      <c r="E29" s="46" t="s">
        <v>61</v>
      </c>
      <c r="F29" s="46" t="s">
        <v>46</v>
      </c>
      <c r="G29" s="46" t="s">
        <v>46</v>
      </c>
      <c r="H29" s="46" t="s">
        <v>46</v>
      </c>
      <c r="I29" s="46" t="s">
        <v>47</v>
      </c>
      <c r="J29" s="31" t="s">
        <v>48</v>
      </c>
      <c r="K29" s="31" t="s">
        <v>112</v>
      </c>
      <c r="L29" s="46">
        <f>SUM(N30:AG30)</f>
        <v>8891</v>
      </c>
      <c r="M29" s="33" t="s">
        <v>49</v>
      </c>
      <c r="N29" s="44" t="s">
        <v>135</v>
      </c>
      <c r="O29" s="33" t="s">
        <v>96</v>
      </c>
      <c r="P29" s="33" t="s">
        <v>130</v>
      </c>
      <c r="Q29" s="33"/>
      <c r="R29" s="33"/>
      <c r="S29" s="44" t="s">
        <v>137</v>
      </c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>
      <c r="A30" s="46"/>
      <c r="B30" s="46"/>
      <c r="C30" s="46"/>
      <c r="D30" s="46"/>
      <c r="E30" s="46"/>
      <c r="F30" s="46"/>
      <c r="G30" s="46"/>
      <c r="H30" s="46"/>
      <c r="I30" s="46"/>
      <c r="J30" s="35"/>
      <c r="K30" s="35"/>
      <c r="L30" s="46"/>
      <c r="M30" s="33" t="s">
        <v>132</v>
      </c>
      <c r="N30" s="44">
        <v>2600</v>
      </c>
      <c r="O30" s="33">
        <v>200</v>
      </c>
      <c r="P30" s="33">
        <v>3091</v>
      </c>
      <c r="Q30" s="33"/>
      <c r="R30" s="33"/>
      <c r="S30" s="44">
        <v>3000</v>
      </c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>
      <c r="A31" s="46" t="s">
        <v>42</v>
      </c>
      <c r="B31" s="46" t="s">
        <v>42</v>
      </c>
      <c r="C31" s="46" t="s">
        <v>126</v>
      </c>
      <c r="D31" s="46" t="s">
        <v>134</v>
      </c>
      <c r="E31" s="46" t="s">
        <v>46</v>
      </c>
      <c r="F31" s="46">
        <v>5.4</v>
      </c>
      <c r="G31" s="46">
        <v>2</v>
      </c>
      <c r="H31" s="46">
        <v>500</v>
      </c>
      <c r="I31" s="46" t="s">
        <v>111</v>
      </c>
      <c r="J31" s="31" t="s">
        <v>48</v>
      </c>
      <c r="K31" s="31" t="s">
        <v>112</v>
      </c>
      <c r="L31" s="46">
        <f>SUM(N32:AG32)</f>
        <v>4863</v>
      </c>
      <c r="M31" s="33" t="s">
        <v>49</v>
      </c>
      <c r="N31" s="44" t="s">
        <v>113</v>
      </c>
      <c r="O31" s="33" t="s">
        <v>96</v>
      </c>
      <c r="P31" s="33" t="s">
        <v>138</v>
      </c>
      <c r="Q31" s="33"/>
      <c r="R31" s="33"/>
      <c r="S31" s="44" t="s">
        <v>139</v>
      </c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>
      <c r="A32" s="46"/>
      <c r="B32" s="46"/>
      <c r="C32" s="46"/>
      <c r="D32" s="46"/>
      <c r="E32" s="46"/>
      <c r="F32" s="46"/>
      <c r="G32" s="46"/>
      <c r="H32" s="46"/>
      <c r="I32" s="46"/>
      <c r="J32" s="35"/>
      <c r="K32" s="35"/>
      <c r="L32" s="46"/>
      <c r="M32" s="33" t="s">
        <v>132</v>
      </c>
      <c r="N32" s="44">
        <v>405</v>
      </c>
      <c r="O32" s="33">
        <v>200</v>
      </c>
      <c r="P32" s="33">
        <v>3016</v>
      </c>
      <c r="Q32" s="33"/>
      <c r="R32" s="33"/>
      <c r="S32" s="44">
        <f>230*F31</f>
        <v>1242</v>
      </c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spans="1:33">
      <c r="A33" s="46" t="s">
        <v>42</v>
      </c>
      <c r="B33" s="46" t="s">
        <v>42</v>
      </c>
      <c r="C33" s="46" t="s">
        <v>126</v>
      </c>
      <c r="D33" s="46" t="s">
        <v>134</v>
      </c>
      <c r="E33" s="46" t="s">
        <v>46</v>
      </c>
      <c r="F33" s="46">
        <v>5.4</v>
      </c>
      <c r="G33" s="46">
        <v>3</v>
      </c>
      <c r="H33" s="46">
        <v>500</v>
      </c>
      <c r="I33" s="46"/>
      <c r="J33" s="31" t="s">
        <v>94</v>
      </c>
      <c r="K33" s="31" t="s">
        <v>112</v>
      </c>
      <c r="L33" s="46">
        <f>SUM(N34:AG34)</f>
        <v>3990</v>
      </c>
      <c r="M33" s="33" t="s">
        <v>49</v>
      </c>
      <c r="N33" s="44" t="s">
        <v>113</v>
      </c>
      <c r="O33" s="33" t="s">
        <v>96</v>
      </c>
      <c r="P33" s="33" t="s">
        <v>140</v>
      </c>
      <c r="Q33" s="33"/>
      <c r="R33" s="33"/>
      <c r="S33" s="44" t="s">
        <v>141</v>
      </c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spans="1:33">
      <c r="A34" s="46"/>
      <c r="B34" s="46"/>
      <c r="C34" s="46"/>
      <c r="D34" s="46"/>
      <c r="E34" s="46"/>
      <c r="F34" s="46"/>
      <c r="G34" s="46"/>
      <c r="H34" s="46"/>
      <c r="I34" s="46"/>
      <c r="J34" s="35"/>
      <c r="K34" s="35"/>
      <c r="L34" s="46"/>
      <c r="M34" s="33" t="s">
        <v>132</v>
      </c>
      <c r="N34" s="44">
        <v>405</v>
      </c>
      <c r="O34" s="33">
        <v>200</v>
      </c>
      <c r="P34" s="33">
        <v>535</v>
      </c>
      <c r="Q34" s="33"/>
      <c r="R34" s="33"/>
      <c r="S34" s="44">
        <f>5.7*H33</f>
        <v>2850</v>
      </c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</sheetData>
  <autoFilter xmlns:etc="http://www.wps.cn/officeDocument/2017/etCustomData" ref="A2:AG34" etc:filterBottomFollowUsedRange="0">
    <extLst/>
  </autoFilter>
  <mergeCells count="192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zoomScale="70" zoomScaleNormal="70" workbookViewId="0">
      <selection activeCell="L24" sqref="L24"/>
    </sheetView>
  </sheetViews>
  <sheetFormatPr defaultColWidth="8.66666666666667" defaultRowHeight="14"/>
  <cols>
    <col min="1" max="1" width="6.41666666666667" style="26" customWidth="1"/>
    <col min="2" max="2" width="12.25" style="26" customWidth="1"/>
    <col min="3" max="3" width="7.66666666666667" style="26" customWidth="1"/>
    <col min="4" max="4" width="11.75" style="26" customWidth="1"/>
    <col min="5" max="5" width="8.75" style="26" customWidth="1"/>
    <col min="6" max="8" width="4.91666666666667" style="26" customWidth="1"/>
    <col min="9" max="9" width="7.41666666666667" style="26" customWidth="1"/>
    <col min="10" max="10" width="10.0833333333333" style="26" customWidth="1"/>
    <col min="11" max="11" width="7.41666666666667" style="26" customWidth="1"/>
    <col min="12" max="12" width="8.08333333333333" style="26" customWidth="1"/>
    <col min="13" max="13" width="10.4166666666667" style="26" customWidth="1"/>
    <col min="14" max="14" width="21.8333333333333" style="26" customWidth="1"/>
    <col min="15" max="15" width="15.0833333333333" style="27" customWidth="1"/>
    <col min="16" max="17" width="13.6666666666667" style="27" customWidth="1"/>
    <col min="18" max="18" width="21.1666666666667" style="26" customWidth="1"/>
    <col min="19" max="19" width="12.6666666666667" style="26" customWidth="1"/>
    <col min="20" max="20" width="17.9166666666667" style="26" customWidth="1"/>
    <col min="21" max="16384" width="8.66666666666667" style="26"/>
  </cols>
  <sheetData>
    <row r="1" spans="1:20">
      <c r="N1" s="26">
        <v>1</v>
      </c>
      <c r="O1" s="27">
        <v>2</v>
      </c>
      <c r="P1" s="27">
        <v>3</v>
      </c>
      <c r="Q1" s="27">
        <v>4</v>
      </c>
      <c r="R1" s="26">
        <v>5</v>
      </c>
      <c r="S1" s="26">
        <v>6</v>
      </c>
      <c r="T1" s="26">
        <v>7</v>
      </c>
    </row>
    <row r="2" spans="1:20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28" t="s">
        <v>16</v>
      </c>
      <c r="H2" s="29" t="s">
        <v>142</v>
      </c>
      <c r="I2" s="28" t="s">
        <v>17</v>
      </c>
      <c r="J2" s="19" t="s">
        <v>18</v>
      </c>
      <c r="K2" s="19" t="s">
        <v>19</v>
      </c>
      <c r="L2" s="28" t="s">
        <v>20</v>
      </c>
      <c r="M2" s="28" t="s">
        <v>21</v>
      </c>
      <c r="N2" s="28" t="s">
        <v>143</v>
      </c>
      <c r="O2" s="30" t="s">
        <v>144</v>
      </c>
      <c r="P2" s="30" t="s">
        <v>145</v>
      </c>
      <c r="Q2" s="30" t="s">
        <v>146</v>
      </c>
      <c r="R2" s="28" t="s">
        <v>147</v>
      </c>
      <c r="S2" s="28" t="s">
        <v>148</v>
      </c>
      <c r="T2" s="28" t="s">
        <v>149</v>
      </c>
    </row>
    <row r="3" spans="1:20">
      <c r="A3" s="31" t="s">
        <v>42</v>
      </c>
      <c r="B3" s="31" t="s">
        <v>150</v>
      </c>
      <c r="C3" s="31" t="s">
        <v>151</v>
      </c>
      <c r="D3" s="31" t="s">
        <v>152</v>
      </c>
      <c r="E3" s="31" t="s">
        <v>46</v>
      </c>
      <c r="F3" s="31">
        <v>5.4</v>
      </c>
      <c r="G3" s="31">
        <v>1000</v>
      </c>
      <c r="H3" s="32" t="s">
        <v>153</v>
      </c>
      <c r="I3" s="31" t="s">
        <v>111</v>
      </c>
      <c r="J3" s="31" t="s">
        <v>48</v>
      </c>
      <c r="K3" s="31" t="s">
        <v>154</v>
      </c>
      <c r="L3" s="31">
        <f>SUM(N4:T4)</f>
        <v>11732.4</v>
      </c>
      <c r="M3" s="33" t="s">
        <v>49</v>
      </c>
      <c r="N3" s="34" t="s">
        <v>155</v>
      </c>
      <c r="O3" s="30" t="s">
        <v>156</v>
      </c>
      <c r="P3" s="30" t="s">
        <v>157</v>
      </c>
      <c r="Q3" s="30"/>
      <c r="R3" s="34" t="s">
        <v>158</v>
      </c>
      <c r="S3" s="34" t="s">
        <v>159</v>
      </c>
      <c r="T3" s="34" t="s">
        <v>96</v>
      </c>
    </row>
    <row r="4" spans="1:20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4" t="s">
        <v>160</v>
      </c>
      <c r="N4" s="36">
        <f>130*7.8*F3</f>
        <v>5475.6</v>
      </c>
      <c r="O4" s="37">
        <f>40*7.8*F3</f>
        <v>1684.8</v>
      </c>
      <c r="P4" s="37">
        <f>230*F3</f>
        <v>1242</v>
      </c>
      <c r="Q4" s="30"/>
      <c r="R4" s="34">
        <v>900</v>
      </c>
      <c r="S4" s="34">
        <v>2230</v>
      </c>
      <c r="T4" s="34">
        <v>200</v>
      </c>
    </row>
    <row r="5" spans="1:20">
      <c r="A5" s="31" t="s">
        <v>42</v>
      </c>
      <c r="B5" s="31" t="s">
        <v>161</v>
      </c>
      <c r="C5" s="31" t="s">
        <v>151</v>
      </c>
      <c r="D5" s="31" t="s">
        <v>162</v>
      </c>
      <c r="E5" s="31" t="s">
        <v>46</v>
      </c>
      <c r="F5" s="31">
        <v>5.4</v>
      </c>
      <c r="G5" s="31">
        <v>1000</v>
      </c>
      <c r="H5" s="32" t="s">
        <v>163</v>
      </c>
      <c r="I5" s="31" t="s">
        <v>111</v>
      </c>
      <c r="J5" s="31" t="s">
        <v>48</v>
      </c>
      <c r="K5" s="31" t="s">
        <v>154</v>
      </c>
      <c r="L5" s="31">
        <f>SUM(N6:T6)</f>
        <v>10131.84</v>
      </c>
      <c r="M5" s="33" t="s">
        <v>49</v>
      </c>
      <c r="N5" s="34" t="s">
        <v>164</v>
      </c>
      <c r="O5" s="30" t="s">
        <v>165</v>
      </c>
      <c r="P5" s="30" t="s">
        <v>157</v>
      </c>
      <c r="Q5" s="30"/>
      <c r="R5" s="34" t="s">
        <v>158</v>
      </c>
      <c r="S5" s="34" t="s">
        <v>159</v>
      </c>
      <c r="T5" s="34" t="s">
        <v>96</v>
      </c>
    </row>
    <row r="6" spans="1:20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4" t="s">
        <v>166</v>
      </c>
      <c r="N6" s="36">
        <f>120*7.8*F5</f>
        <v>5054.4</v>
      </c>
      <c r="O6" s="37">
        <f>12*7.8*F5</f>
        <v>505.44</v>
      </c>
      <c r="P6" s="37">
        <f>230*F5</f>
        <v>1242</v>
      </c>
      <c r="Q6" s="30"/>
      <c r="R6" s="34">
        <v>900</v>
      </c>
      <c r="S6" s="34">
        <v>2230</v>
      </c>
      <c r="T6" s="34">
        <v>200</v>
      </c>
    </row>
    <row r="7" spans="1:20">
      <c r="A7" s="31" t="s">
        <v>42</v>
      </c>
      <c r="B7" s="31" t="s">
        <v>167</v>
      </c>
      <c r="C7" s="31" t="s">
        <v>151</v>
      </c>
      <c r="D7" s="31" t="s">
        <v>168</v>
      </c>
      <c r="E7" s="31" t="s">
        <v>46</v>
      </c>
      <c r="F7" s="31">
        <v>5.4</v>
      </c>
      <c r="G7" s="31">
        <v>1000</v>
      </c>
      <c r="H7" s="32" t="s">
        <v>169</v>
      </c>
      <c r="I7" s="31" t="s">
        <v>111</v>
      </c>
      <c r="J7" s="31" t="s">
        <v>48</v>
      </c>
      <c r="K7" s="31" t="s">
        <v>154</v>
      </c>
      <c r="L7" s="31">
        <f>SUM(N8:T8)</f>
        <v>1080</v>
      </c>
      <c r="M7" s="33" t="s">
        <v>49</v>
      </c>
      <c r="N7" s="34"/>
      <c r="O7" s="30"/>
      <c r="P7" s="30"/>
      <c r="Q7" s="30"/>
      <c r="R7" s="34" t="s">
        <v>170</v>
      </c>
      <c r="S7" s="34" t="s">
        <v>171</v>
      </c>
      <c r="T7" s="34"/>
    </row>
    <row r="8" spans="1:20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4" t="s">
        <v>132</v>
      </c>
      <c r="N8" s="34"/>
      <c r="O8" s="30"/>
      <c r="P8" s="30"/>
      <c r="Q8" s="30"/>
      <c r="R8" s="34">
        <v>450</v>
      </c>
      <c r="S8" s="34">
        <v>630</v>
      </c>
      <c r="T8" s="34"/>
    </row>
    <row r="9" spans="1:20">
      <c r="A9" s="31" t="s">
        <v>42</v>
      </c>
      <c r="B9" s="31" t="s">
        <v>172</v>
      </c>
      <c r="C9" s="31" t="s">
        <v>151</v>
      </c>
      <c r="D9" s="31" t="s">
        <v>173</v>
      </c>
      <c r="E9" s="31" t="s">
        <v>46</v>
      </c>
      <c r="F9" s="31">
        <v>5</v>
      </c>
      <c r="G9" s="31">
        <v>500</v>
      </c>
      <c r="H9" s="32" t="s">
        <v>174</v>
      </c>
      <c r="I9" s="31"/>
      <c r="J9" s="31" t="s">
        <v>94</v>
      </c>
      <c r="K9" s="31" t="s">
        <v>154</v>
      </c>
      <c r="L9" s="31">
        <f>SUM(N10:T10)</f>
        <v>4035</v>
      </c>
      <c r="M9" s="33" t="s">
        <v>49</v>
      </c>
      <c r="N9" s="34"/>
      <c r="O9" s="30"/>
      <c r="P9" s="30"/>
      <c r="Q9" s="30" t="s">
        <v>175</v>
      </c>
      <c r="R9" s="34" t="s">
        <v>170</v>
      </c>
      <c r="S9" s="34" t="s">
        <v>176</v>
      </c>
      <c r="T9" s="34" t="s">
        <v>96</v>
      </c>
    </row>
    <row r="10" spans="1:2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4" t="s">
        <v>177</v>
      </c>
      <c r="N10" s="34"/>
      <c r="O10" s="30"/>
      <c r="P10" s="30"/>
      <c r="Q10" s="30">
        <f>5.7*G9</f>
        <v>2850</v>
      </c>
      <c r="R10" s="34">
        <v>450</v>
      </c>
      <c r="S10" s="34">
        <v>535</v>
      </c>
      <c r="T10" s="34">
        <v>200</v>
      </c>
    </row>
    <row r="11" spans="1:20">
      <c r="A11" s="31" t="s">
        <v>42</v>
      </c>
      <c r="B11" s="31" t="s">
        <v>172</v>
      </c>
      <c r="C11" s="31" t="s">
        <v>151</v>
      </c>
      <c r="D11" s="31" t="s">
        <v>173</v>
      </c>
      <c r="E11" s="31" t="s">
        <v>46</v>
      </c>
      <c r="F11" s="31">
        <v>5.4</v>
      </c>
      <c r="G11" s="38">
        <v>900</v>
      </c>
      <c r="H11" s="32" t="s">
        <v>178</v>
      </c>
      <c r="I11" s="31" t="s">
        <v>111</v>
      </c>
      <c r="J11" s="31" t="s">
        <v>48</v>
      </c>
      <c r="K11" s="31" t="s">
        <v>154</v>
      </c>
      <c r="L11" s="31">
        <f>SUM(N12:T12)</f>
        <v>4953</v>
      </c>
      <c r="M11" s="33" t="s">
        <v>49</v>
      </c>
      <c r="N11" s="34"/>
      <c r="O11" s="30"/>
      <c r="P11" s="30" t="s">
        <v>157</v>
      </c>
      <c r="Q11" s="30"/>
      <c r="R11" s="34" t="s">
        <v>170</v>
      </c>
      <c r="S11" s="34" t="s">
        <v>179</v>
      </c>
      <c r="T11" s="34" t="s">
        <v>96</v>
      </c>
    </row>
    <row r="12" spans="1:20">
      <c r="A12" s="35"/>
      <c r="B12" s="35"/>
      <c r="C12" s="35"/>
      <c r="D12" s="35"/>
      <c r="E12" s="35"/>
      <c r="F12" s="35"/>
      <c r="G12" s="39"/>
      <c r="H12" s="35"/>
      <c r="I12" s="35"/>
      <c r="J12" s="35"/>
      <c r="K12" s="35"/>
      <c r="L12" s="35"/>
      <c r="M12" s="34" t="s">
        <v>180</v>
      </c>
      <c r="N12" s="34"/>
      <c r="O12" s="30"/>
      <c r="P12" s="30">
        <f>230*F11</f>
        <v>1242</v>
      </c>
      <c r="Q12" s="30"/>
      <c r="R12" s="40">
        <v>450</v>
      </c>
      <c r="S12" s="34">
        <v>3061</v>
      </c>
      <c r="T12" s="34">
        <v>200</v>
      </c>
    </row>
    <row r="13" spans="1:20">
      <c r="A13" s="31" t="s">
        <v>42</v>
      </c>
      <c r="B13" s="31" t="s">
        <v>172</v>
      </c>
      <c r="C13" s="31" t="s">
        <v>151</v>
      </c>
      <c r="D13" s="31" t="s">
        <v>173</v>
      </c>
      <c r="E13" s="31" t="s">
        <v>45</v>
      </c>
      <c r="F13" s="31" t="s">
        <v>46</v>
      </c>
      <c r="G13" s="31" t="s">
        <v>46</v>
      </c>
      <c r="H13" s="32" t="s">
        <v>181</v>
      </c>
      <c r="I13" s="31" t="s">
        <v>47</v>
      </c>
      <c r="J13" s="31" t="s">
        <v>48</v>
      </c>
      <c r="K13" s="31" t="s">
        <v>154</v>
      </c>
      <c r="L13" s="31">
        <f>SUM(N14:T14)</f>
        <v>8091</v>
      </c>
      <c r="M13" s="33" t="s">
        <v>49</v>
      </c>
      <c r="N13" s="34"/>
      <c r="O13" s="30"/>
      <c r="P13" s="30" t="s">
        <v>182</v>
      </c>
      <c r="Q13" s="30"/>
      <c r="R13" s="34" t="s">
        <v>135</v>
      </c>
      <c r="S13" s="34" t="s">
        <v>183</v>
      </c>
      <c r="T13" s="34" t="s">
        <v>96</v>
      </c>
    </row>
    <row r="14" spans="1:20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4" t="s">
        <v>180</v>
      </c>
      <c r="N14" s="34"/>
      <c r="O14" s="30"/>
      <c r="P14" s="30">
        <v>2200</v>
      </c>
      <c r="Q14" s="30"/>
      <c r="R14" s="34">
        <v>2600</v>
      </c>
      <c r="S14" s="34">
        <v>3091</v>
      </c>
      <c r="T14" s="34">
        <v>200</v>
      </c>
    </row>
    <row r="15" spans="1:20">
      <c r="A15" s="31" t="s">
        <v>42</v>
      </c>
      <c r="B15" s="31" t="s">
        <v>172</v>
      </c>
      <c r="C15" s="31" t="s">
        <v>151</v>
      </c>
      <c r="D15" s="31" t="s">
        <v>173</v>
      </c>
      <c r="E15" s="31" t="s">
        <v>61</v>
      </c>
      <c r="F15" s="31" t="s">
        <v>46</v>
      </c>
      <c r="G15" s="31" t="s">
        <v>46</v>
      </c>
      <c r="H15" s="32" t="s">
        <v>184</v>
      </c>
      <c r="I15" s="31" t="s">
        <v>47</v>
      </c>
      <c r="J15" s="31" t="s">
        <v>48</v>
      </c>
      <c r="K15" s="31" t="s">
        <v>154</v>
      </c>
      <c r="L15" s="31">
        <f>SUM(N16:T16)</f>
        <v>8191</v>
      </c>
      <c r="M15" s="33" t="s">
        <v>49</v>
      </c>
      <c r="N15" s="34"/>
      <c r="O15" s="30"/>
      <c r="P15" s="30" t="s">
        <v>185</v>
      </c>
      <c r="Q15" s="30"/>
      <c r="R15" s="34" t="s">
        <v>135</v>
      </c>
      <c r="S15" s="34" t="s">
        <v>183</v>
      </c>
      <c r="T15" s="34" t="s">
        <v>96</v>
      </c>
    </row>
    <row r="16" spans="1:20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4" t="s">
        <v>180</v>
      </c>
      <c r="N16" s="34"/>
      <c r="O16" s="30"/>
      <c r="P16" s="30">
        <v>2300</v>
      </c>
      <c r="Q16" s="30"/>
      <c r="R16" s="34">
        <v>2600</v>
      </c>
      <c r="S16" s="34">
        <v>3091</v>
      </c>
      <c r="T16" s="34">
        <v>200</v>
      </c>
    </row>
  </sheetData>
  <mergeCells count="84">
    <mergeCell ref="A3:A4"/>
    <mergeCell ref="A5:A6"/>
    <mergeCell ref="A7:A8"/>
    <mergeCell ref="A9:A10"/>
    <mergeCell ref="A11:A12"/>
    <mergeCell ref="A13:A14"/>
    <mergeCell ref="A15:A16"/>
    <mergeCell ref="B3:B4"/>
    <mergeCell ref="B5:B6"/>
    <mergeCell ref="B7:B8"/>
    <mergeCell ref="B9:B10"/>
    <mergeCell ref="B11:B12"/>
    <mergeCell ref="B13:B14"/>
    <mergeCell ref="B15:B16"/>
    <mergeCell ref="C3:C4"/>
    <mergeCell ref="C5:C6"/>
    <mergeCell ref="C7:C8"/>
    <mergeCell ref="C9:C10"/>
    <mergeCell ref="C11:C12"/>
    <mergeCell ref="C13:C14"/>
    <mergeCell ref="C15:C16"/>
    <mergeCell ref="D3:D4"/>
    <mergeCell ref="D5:D6"/>
    <mergeCell ref="D7:D8"/>
    <mergeCell ref="D9:D10"/>
    <mergeCell ref="D11:D12"/>
    <mergeCell ref="D13:D14"/>
    <mergeCell ref="D15:D16"/>
    <mergeCell ref="E3:E4"/>
    <mergeCell ref="E5:E6"/>
    <mergeCell ref="E7:E8"/>
    <mergeCell ref="E9:E10"/>
    <mergeCell ref="E11:E12"/>
    <mergeCell ref="E13:E14"/>
    <mergeCell ref="E15:E16"/>
    <mergeCell ref="F3:F4"/>
    <mergeCell ref="F5:F6"/>
    <mergeCell ref="F7:F8"/>
    <mergeCell ref="F9:F10"/>
    <mergeCell ref="F11:F12"/>
    <mergeCell ref="F13:F14"/>
    <mergeCell ref="F15:F16"/>
    <mergeCell ref="G3:G4"/>
    <mergeCell ref="G5:G6"/>
    <mergeCell ref="G7:G8"/>
    <mergeCell ref="G9:G10"/>
    <mergeCell ref="G11:G12"/>
    <mergeCell ref="G13:G14"/>
    <mergeCell ref="G15:G16"/>
    <mergeCell ref="H3:H4"/>
    <mergeCell ref="H5:H6"/>
    <mergeCell ref="H7:H8"/>
    <mergeCell ref="H9:H10"/>
    <mergeCell ref="H11:H12"/>
    <mergeCell ref="H13:H14"/>
    <mergeCell ref="H15:H16"/>
    <mergeCell ref="I3:I4"/>
    <mergeCell ref="I5:I6"/>
    <mergeCell ref="I7:I8"/>
    <mergeCell ref="I9:I10"/>
    <mergeCell ref="I11:I12"/>
    <mergeCell ref="I13:I14"/>
    <mergeCell ref="I15:I16"/>
    <mergeCell ref="J3:J4"/>
    <mergeCell ref="J5:J6"/>
    <mergeCell ref="J7:J8"/>
    <mergeCell ref="J9:J10"/>
    <mergeCell ref="J11:J12"/>
    <mergeCell ref="J13:J14"/>
    <mergeCell ref="J15:J16"/>
    <mergeCell ref="K3:K4"/>
    <mergeCell ref="K5:K6"/>
    <mergeCell ref="K7:K8"/>
    <mergeCell ref="K9:K10"/>
    <mergeCell ref="K11:K12"/>
    <mergeCell ref="K13:K14"/>
    <mergeCell ref="K15:K16"/>
    <mergeCell ref="L3:L4"/>
    <mergeCell ref="L5:L6"/>
    <mergeCell ref="L7:L8"/>
    <mergeCell ref="L9:L10"/>
    <mergeCell ref="L11:L12"/>
    <mergeCell ref="L13:L14"/>
    <mergeCell ref="L15:L1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zoomScale="70" zoomScaleNormal="70" workbookViewId="0">
      <pane xSplit="10" ySplit="3" topLeftCell="K4" activePane="bottomRight" state="frozen"/>
      <selection/>
      <selection pane="topRight"/>
      <selection pane="bottomLeft"/>
      <selection pane="bottomRight" activeCell="J8" sqref="J8"/>
    </sheetView>
  </sheetViews>
  <sheetFormatPr defaultColWidth="8.66666666666667" defaultRowHeight="14"/>
  <cols>
    <col min="1" max="1" width="13" style="2" customWidth="1"/>
    <col min="2" max="2" width="6.5" style="2" customWidth="1"/>
    <col min="3" max="3" width="7.66666666666667" style="2" customWidth="1"/>
    <col min="4" max="4" width="10.5" style="2" customWidth="1"/>
    <col min="5" max="7" width="7.66666666666667" style="2" customWidth="1"/>
    <col min="8" max="8" width="10.0833333333333" style="2" customWidth="1"/>
    <col min="9" max="9" width="7.66666666666667" style="2" customWidth="1"/>
    <col min="10" max="11" width="11.0833333333333" style="3" customWidth="1"/>
    <col min="12" max="12" width="21.25" style="2" customWidth="1"/>
    <col min="13" max="13" width="17.25" style="2" customWidth="1"/>
    <col min="14" max="14" width="15.5833333333333" style="2" customWidth="1"/>
    <col min="15" max="15" width="26.8333333333333" style="2" customWidth="1"/>
    <col min="16" max="16" width="26.5833333333333" style="2" customWidth="1"/>
    <col min="17" max="17" width="17.3333333333333" style="2" customWidth="1"/>
    <col min="18" max="18" width="12.5" style="2" customWidth="1"/>
    <col min="19" max="16384" width="8.66666666666667" style="2"/>
  </cols>
  <sheetData>
    <row r="1" spans="1:19">
      <c r="N1" s="10"/>
      <c r="O1" s="10"/>
      <c r="P1" s="10"/>
      <c r="Q1" s="10"/>
      <c r="R1" s="10"/>
    </row>
    <row r="2" s="1" customFormat="1" ht="28" spans="1:19">
      <c r="A2" s="5" t="s">
        <v>9</v>
      </c>
      <c r="B2" s="5" t="s">
        <v>10</v>
      </c>
      <c r="C2" s="5" t="s">
        <v>11</v>
      </c>
      <c r="D2" s="6" t="s">
        <v>186</v>
      </c>
      <c r="E2" s="5" t="s">
        <v>17</v>
      </c>
      <c r="F2" s="18" t="s">
        <v>187</v>
      </c>
      <c r="G2" s="18" t="s">
        <v>188</v>
      </c>
      <c r="H2" s="19" t="s">
        <v>18</v>
      </c>
      <c r="I2" s="19" t="s">
        <v>19</v>
      </c>
      <c r="J2" s="7" t="s">
        <v>20</v>
      </c>
      <c r="K2" s="9" t="s">
        <v>21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45</v>
      </c>
      <c r="Q2" s="5" t="s">
        <v>61</v>
      </c>
      <c r="R2" s="5" t="s">
        <v>193</v>
      </c>
      <c r="S2" s="20"/>
    </row>
    <row r="3" s="1" customFormat="1" ht="28" spans="1:19">
      <c r="A3" s="18" t="s">
        <v>194</v>
      </c>
      <c r="B3" s="5"/>
      <c r="C3" s="5"/>
      <c r="D3" s="5"/>
      <c r="E3" s="5"/>
      <c r="F3" s="5"/>
      <c r="G3" s="5"/>
      <c r="H3" s="5"/>
      <c r="I3" s="5"/>
      <c r="J3" s="9"/>
      <c r="K3" s="9" t="s">
        <v>195</v>
      </c>
      <c r="L3" s="8">
        <f>1850+S3</f>
        <v>1850</v>
      </c>
      <c r="M3" s="6">
        <f>2400+S3</f>
        <v>2400</v>
      </c>
      <c r="N3" s="5">
        <f>2400+S3</f>
        <v>2400</v>
      </c>
      <c r="O3" s="5">
        <f>2600+S3</f>
        <v>2600</v>
      </c>
      <c r="P3" s="5">
        <f>3350+S3</f>
        <v>3350</v>
      </c>
      <c r="Q3" s="5">
        <f>3450+S3</f>
        <v>3450</v>
      </c>
      <c r="R3" s="5">
        <f>3450+S3</f>
        <v>3450</v>
      </c>
    </row>
    <row r="4" s="1" customFormat="1" ht="28" spans="1:19">
      <c r="A4" s="18" t="s">
        <v>196</v>
      </c>
      <c r="B4" s="5"/>
      <c r="C4" s="5"/>
      <c r="D4" s="5"/>
      <c r="E4" s="5"/>
      <c r="F4" s="5"/>
      <c r="G4" s="5"/>
      <c r="H4" s="5"/>
      <c r="I4" s="5"/>
      <c r="J4" s="9"/>
      <c r="K4" s="9" t="s">
        <v>195</v>
      </c>
      <c r="L4" s="8">
        <f>2750+S4</f>
        <v>2750</v>
      </c>
      <c r="M4" s="8">
        <f>3650+S4</f>
        <v>3650</v>
      </c>
      <c r="N4" s="8">
        <f>3650+S4</f>
        <v>3650</v>
      </c>
      <c r="O4" s="8">
        <f>3950+S4</f>
        <v>3950</v>
      </c>
      <c r="P4" s="5">
        <f>4750+S4</f>
        <v>4750</v>
      </c>
      <c r="Q4" s="5">
        <f>4950+S4</f>
        <v>4950</v>
      </c>
      <c r="R4" s="5">
        <f>4950+S4</f>
        <v>4950</v>
      </c>
    </row>
    <row r="5" spans="1:19">
      <c r="A5" s="10" t="s">
        <v>42</v>
      </c>
      <c r="B5" s="10" t="s">
        <v>0</v>
      </c>
      <c r="C5" s="10" t="s">
        <v>42</v>
      </c>
      <c r="D5" s="10">
        <v>10</v>
      </c>
      <c r="E5" s="10" t="s">
        <v>197</v>
      </c>
      <c r="F5" s="16" t="s">
        <v>192</v>
      </c>
      <c r="G5" s="16" t="s">
        <v>198</v>
      </c>
      <c r="H5" s="10" t="s">
        <v>112</v>
      </c>
      <c r="I5" s="10" t="s">
        <v>199</v>
      </c>
      <c r="J5" s="21">
        <f>D5*O5</f>
        <v>26000</v>
      </c>
      <c r="K5" s="21" t="s">
        <v>195</v>
      </c>
      <c r="L5" s="10">
        <f>L3</f>
        <v>1850</v>
      </c>
      <c r="M5" s="10">
        <f t="shared" ref="M5:R5" si="0">M3</f>
        <v>2400</v>
      </c>
      <c r="N5" s="10">
        <f t="shared" si="0"/>
        <v>2400</v>
      </c>
      <c r="O5" s="10">
        <f t="shared" si="0"/>
        <v>2600</v>
      </c>
      <c r="P5" s="10">
        <f t="shared" si="0"/>
        <v>3350</v>
      </c>
      <c r="Q5" s="10">
        <f t="shared" si="0"/>
        <v>3450</v>
      </c>
      <c r="R5" s="10">
        <f t="shared" si="0"/>
        <v>3450</v>
      </c>
    </row>
    <row r="6" spans="1:19">
      <c r="A6" s="10" t="s">
        <v>42</v>
      </c>
      <c r="B6" s="10" t="s">
        <v>0</v>
      </c>
      <c r="C6" s="10" t="s">
        <v>42</v>
      </c>
      <c r="D6" s="10">
        <v>10</v>
      </c>
      <c r="E6" s="10" t="s">
        <v>197</v>
      </c>
      <c r="F6" s="16" t="s">
        <v>189</v>
      </c>
      <c r="G6" s="16" t="s">
        <v>198</v>
      </c>
      <c r="H6" s="10" t="s">
        <v>112</v>
      </c>
      <c r="I6" s="10" t="s">
        <v>199</v>
      </c>
      <c r="J6" s="21">
        <f>D6*L6</f>
        <v>18500</v>
      </c>
      <c r="K6" s="21" t="s">
        <v>195</v>
      </c>
      <c r="L6" s="10">
        <f t="shared" ref="L6:R6" si="1">L3</f>
        <v>1850</v>
      </c>
      <c r="M6" s="10">
        <f t="shared" si="1"/>
        <v>2400</v>
      </c>
      <c r="N6" s="10">
        <f t="shared" si="1"/>
        <v>2400</v>
      </c>
      <c r="O6" s="10">
        <f t="shared" si="1"/>
        <v>2600</v>
      </c>
      <c r="P6" s="10">
        <f t="shared" si="1"/>
        <v>3350</v>
      </c>
      <c r="Q6" s="10">
        <f t="shared" si="1"/>
        <v>3450</v>
      </c>
      <c r="R6" s="10">
        <f t="shared" si="1"/>
        <v>3450</v>
      </c>
    </row>
    <row r="7" spans="1:19">
      <c r="A7" s="10" t="s">
        <v>42</v>
      </c>
      <c r="B7" s="10" t="s">
        <v>0</v>
      </c>
      <c r="C7" s="10" t="s">
        <v>42</v>
      </c>
      <c r="D7" s="10">
        <v>10</v>
      </c>
      <c r="E7" s="10" t="s">
        <v>197</v>
      </c>
      <c r="F7" s="16" t="s">
        <v>190</v>
      </c>
      <c r="G7" s="16" t="s">
        <v>200</v>
      </c>
      <c r="H7" s="10" t="s">
        <v>112</v>
      </c>
      <c r="I7" s="10" t="s">
        <v>199</v>
      </c>
      <c r="J7" s="21">
        <f>D7*M7</f>
        <v>36500</v>
      </c>
      <c r="K7" s="21" t="s">
        <v>195</v>
      </c>
      <c r="L7" s="10">
        <f t="shared" ref="L7:R7" si="2">L4</f>
        <v>2750</v>
      </c>
      <c r="M7" s="10">
        <f t="shared" si="2"/>
        <v>3650</v>
      </c>
      <c r="N7" s="10">
        <f t="shared" si="2"/>
        <v>3650</v>
      </c>
      <c r="O7" s="10">
        <f t="shared" si="2"/>
        <v>3950</v>
      </c>
      <c r="P7" s="10">
        <f t="shared" si="2"/>
        <v>4750</v>
      </c>
      <c r="Q7" s="10">
        <f t="shared" si="2"/>
        <v>4950</v>
      </c>
      <c r="R7" s="10">
        <f t="shared" si="2"/>
        <v>4950</v>
      </c>
    </row>
    <row r="8" spans="1:19">
      <c r="A8" s="10" t="s">
        <v>42</v>
      </c>
      <c r="B8" s="10" t="s">
        <v>0</v>
      </c>
      <c r="C8" s="10" t="s">
        <v>42</v>
      </c>
      <c r="D8" s="10">
        <v>10</v>
      </c>
      <c r="E8" s="10" t="s">
        <v>197</v>
      </c>
      <c r="F8" s="16" t="s">
        <v>191</v>
      </c>
      <c r="G8" s="16" t="s">
        <v>198</v>
      </c>
      <c r="H8" s="10" t="s">
        <v>112</v>
      </c>
      <c r="I8" s="10" t="s">
        <v>199</v>
      </c>
      <c r="J8" s="21">
        <f>D8*N8</f>
        <v>24000</v>
      </c>
      <c r="K8" s="21" t="s">
        <v>195</v>
      </c>
      <c r="L8" s="10">
        <f t="shared" ref="L8:R8" si="3">L5</f>
        <v>1850</v>
      </c>
      <c r="M8" s="10">
        <f t="shared" si="3"/>
        <v>2400</v>
      </c>
      <c r="N8" s="10">
        <f t="shared" si="3"/>
        <v>2400</v>
      </c>
      <c r="O8" s="10">
        <f t="shared" si="3"/>
        <v>2600</v>
      </c>
      <c r="P8" s="10">
        <f t="shared" si="3"/>
        <v>3350</v>
      </c>
      <c r="Q8" s="10">
        <f t="shared" si="3"/>
        <v>3450</v>
      </c>
      <c r="R8" s="10">
        <f t="shared" si="3"/>
        <v>3450</v>
      </c>
    </row>
    <row r="9" spans="1:19">
      <c r="A9" s="10" t="s">
        <v>42</v>
      </c>
      <c r="B9" s="10" t="s">
        <v>0</v>
      </c>
      <c r="C9" s="10" t="s">
        <v>42</v>
      </c>
      <c r="D9" s="10">
        <v>10</v>
      </c>
      <c r="E9" s="10" t="s">
        <v>197</v>
      </c>
      <c r="F9" s="16" t="s">
        <v>45</v>
      </c>
      <c r="G9" s="16" t="s">
        <v>200</v>
      </c>
      <c r="H9" s="10" t="s">
        <v>112</v>
      </c>
      <c r="I9" s="10" t="s">
        <v>199</v>
      </c>
      <c r="J9" s="21">
        <f>D9*P9</f>
        <v>47500</v>
      </c>
      <c r="K9" s="21" t="s">
        <v>195</v>
      </c>
      <c r="L9" s="10">
        <f>L4</f>
        <v>2750</v>
      </c>
      <c r="M9" s="10">
        <f t="shared" ref="M9:R9" si="4">M4</f>
        <v>3650</v>
      </c>
      <c r="N9" s="10">
        <f t="shared" si="4"/>
        <v>3650</v>
      </c>
      <c r="O9" s="10">
        <f t="shared" si="4"/>
        <v>3950</v>
      </c>
      <c r="P9" s="10">
        <f t="shared" si="4"/>
        <v>4750</v>
      </c>
      <c r="Q9" s="10">
        <f t="shared" si="4"/>
        <v>4950</v>
      </c>
      <c r="R9" s="10">
        <f t="shared" si="4"/>
        <v>4950</v>
      </c>
    </row>
    <row r="10" spans="1:19">
      <c r="A10" s="10" t="s">
        <v>42</v>
      </c>
      <c r="B10" s="10" t="s">
        <v>0</v>
      </c>
      <c r="C10" s="10" t="s">
        <v>42</v>
      </c>
      <c r="D10" s="10">
        <v>10</v>
      </c>
      <c r="E10" s="10" t="s">
        <v>197</v>
      </c>
      <c r="F10" s="16" t="s">
        <v>61</v>
      </c>
      <c r="G10" s="16" t="s">
        <v>198</v>
      </c>
      <c r="H10" s="10" t="s">
        <v>112</v>
      </c>
      <c r="I10" s="10" t="s">
        <v>199</v>
      </c>
      <c r="J10" s="21">
        <f>D10*Q10</f>
        <v>34500</v>
      </c>
      <c r="K10" s="21" t="s">
        <v>195</v>
      </c>
      <c r="L10" s="10">
        <f>L5</f>
        <v>1850</v>
      </c>
      <c r="M10" s="10">
        <f t="shared" ref="M10:R10" si="5">M5</f>
        <v>2400</v>
      </c>
      <c r="N10" s="10">
        <f t="shared" si="5"/>
        <v>2400</v>
      </c>
      <c r="O10" s="10">
        <f t="shared" si="5"/>
        <v>2600</v>
      </c>
      <c r="P10" s="10">
        <f t="shared" si="5"/>
        <v>3350</v>
      </c>
      <c r="Q10" s="10">
        <f t="shared" si="5"/>
        <v>3450</v>
      </c>
      <c r="R10" s="10">
        <f t="shared" si="5"/>
        <v>3450</v>
      </c>
    </row>
    <row r="11" spans="1:19">
      <c r="A11" s="10" t="s">
        <v>42</v>
      </c>
      <c r="B11" s="10" t="s">
        <v>0</v>
      </c>
      <c r="C11" s="10" t="s">
        <v>42</v>
      </c>
      <c r="D11" s="10">
        <v>10</v>
      </c>
      <c r="E11" s="10" t="s">
        <v>197</v>
      </c>
      <c r="F11" s="16" t="s">
        <v>193</v>
      </c>
      <c r="G11" s="16" t="s">
        <v>200</v>
      </c>
      <c r="H11" s="10" t="s">
        <v>112</v>
      </c>
      <c r="I11" s="10" t="s">
        <v>199</v>
      </c>
      <c r="J11" s="21">
        <f>D11*R11</f>
        <v>49500</v>
      </c>
      <c r="K11" s="21" t="s">
        <v>195</v>
      </c>
      <c r="L11" s="10">
        <f>L4</f>
        <v>2750</v>
      </c>
      <c r="M11" s="10">
        <f t="shared" ref="M11:R11" si="6">M4</f>
        <v>3650</v>
      </c>
      <c r="N11" s="10">
        <f t="shared" si="6"/>
        <v>3650</v>
      </c>
      <c r="O11" s="10">
        <f t="shared" si="6"/>
        <v>3950</v>
      </c>
      <c r="P11" s="10">
        <f t="shared" si="6"/>
        <v>4750</v>
      </c>
      <c r="Q11" s="10">
        <f t="shared" si="6"/>
        <v>4950</v>
      </c>
      <c r="R11" s="10">
        <f t="shared" si="6"/>
        <v>4950</v>
      </c>
    </row>
    <row r="12" s="17" customFormat="1" spans="1:19">
      <c r="A12" s="22" t="s">
        <v>42</v>
      </c>
      <c r="B12" s="22" t="s">
        <v>0</v>
      </c>
      <c r="C12" s="22" t="s">
        <v>42</v>
      </c>
      <c r="D12" s="22">
        <v>10</v>
      </c>
      <c r="E12" s="22" t="s">
        <v>197</v>
      </c>
      <c r="F12" s="23" t="s">
        <v>192</v>
      </c>
      <c r="G12" s="23" t="s">
        <v>200</v>
      </c>
      <c r="H12" s="22" t="s">
        <v>112</v>
      </c>
      <c r="I12" s="22" t="s">
        <v>199</v>
      </c>
      <c r="J12" s="24">
        <f>D12*O12</f>
        <v>39500</v>
      </c>
      <c r="K12" s="24" t="s">
        <v>195</v>
      </c>
      <c r="L12" s="22">
        <f>L11</f>
        <v>2750</v>
      </c>
      <c r="M12" s="22">
        <f t="shared" ref="M12:R13" si="7">M11</f>
        <v>3650</v>
      </c>
      <c r="N12" s="22">
        <f t="shared" si="7"/>
        <v>3650</v>
      </c>
      <c r="O12" s="22">
        <f t="shared" si="7"/>
        <v>3950</v>
      </c>
      <c r="P12" s="22">
        <f t="shared" si="7"/>
        <v>4750</v>
      </c>
      <c r="Q12" s="22">
        <f t="shared" si="7"/>
        <v>4950</v>
      </c>
      <c r="R12" s="22">
        <f t="shared" si="7"/>
        <v>4950</v>
      </c>
    </row>
    <row r="13" s="17" customFormat="1" spans="1:19">
      <c r="A13" s="22" t="s">
        <v>42</v>
      </c>
      <c r="B13" s="22" t="s">
        <v>0</v>
      </c>
      <c r="C13" s="22" t="s">
        <v>42</v>
      </c>
      <c r="D13" s="22">
        <v>10</v>
      </c>
      <c r="E13" s="22" t="s">
        <v>197</v>
      </c>
      <c r="F13" s="23" t="s">
        <v>189</v>
      </c>
      <c r="G13" s="23" t="s">
        <v>200</v>
      </c>
      <c r="H13" s="22" t="s">
        <v>112</v>
      </c>
      <c r="I13" s="22" t="s">
        <v>199</v>
      </c>
      <c r="J13" s="24">
        <f>D13*L13</f>
        <v>27500</v>
      </c>
      <c r="K13" s="24" t="s">
        <v>195</v>
      </c>
      <c r="L13" s="22">
        <f>L12</f>
        <v>2750</v>
      </c>
      <c r="M13" s="22">
        <f t="shared" si="7"/>
        <v>3650</v>
      </c>
      <c r="N13" s="22">
        <f t="shared" si="7"/>
        <v>3650</v>
      </c>
      <c r="O13" s="22">
        <f t="shared" si="7"/>
        <v>3950</v>
      </c>
      <c r="P13" s="22">
        <f t="shared" si="7"/>
        <v>4750</v>
      </c>
      <c r="Q13" s="22">
        <f t="shared" si="7"/>
        <v>4950</v>
      </c>
      <c r="R13" s="22">
        <f t="shared" si="7"/>
        <v>4950</v>
      </c>
    </row>
    <row r="14" s="17" customFormat="1" spans="1:19">
      <c r="A14" s="22" t="s">
        <v>42</v>
      </c>
      <c r="B14" s="22" t="s">
        <v>0</v>
      </c>
      <c r="C14" s="22" t="s">
        <v>42</v>
      </c>
      <c r="D14" s="22">
        <v>10</v>
      </c>
      <c r="E14" s="22" t="s">
        <v>197</v>
      </c>
      <c r="F14" s="23" t="s">
        <v>190</v>
      </c>
      <c r="G14" s="25" t="s">
        <v>198</v>
      </c>
      <c r="H14" s="22" t="s">
        <v>112</v>
      </c>
      <c r="I14" s="22" t="s">
        <v>199</v>
      </c>
      <c r="J14" s="24">
        <f>D14*M14</f>
        <v>24000</v>
      </c>
      <c r="K14" s="24" t="s">
        <v>195</v>
      </c>
      <c r="L14" s="22">
        <f>L10</f>
        <v>1850</v>
      </c>
      <c r="M14" s="22">
        <f t="shared" ref="M14:R14" si="8">M10</f>
        <v>2400</v>
      </c>
      <c r="N14" s="22">
        <f t="shared" si="8"/>
        <v>2400</v>
      </c>
      <c r="O14" s="22">
        <f t="shared" si="8"/>
        <v>2600</v>
      </c>
      <c r="P14" s="22">
        <f t="shared" si="8"/>
        <v>3350</v>
      </c>
      <c r="Q14" s="22">
        <f t="shared" si="8"/>
        <v>3450</v>
      </c>
      <c r="R14" s="22">
        <f t="shared" si="8"/>
        <v>3450</v>
      </c>
    </row>
    <row r="15" s="17" customFormat="1" spans="1:19">
      <c r="A15" s="22" t="s">
        <v>42</v>
      </c>
      <c r="B15" s="22" t="s">
        <v>0</v>
      </c>
      <c r="C15" s="22" t="s">
        <v>42</v>
      </c>
      <c r="D15" s="22">
        <v>10</v>
      </c>
      <c r="E15" s="22" t="s">
        <v>197</v>
      </c>
      <c r="F15" s="23" t="s">
        <v>191</v>
      </c>
      <c r="G15" s="25" t="s">
        <v>200</v>
      </c>
      <c r="H15" s="22" t="s">
        <v>112</v>
      </c>
      <c r="I15" s="22" t="s">
        <v>199</v>
      </c>
      <c r="J15" s="24">
        <f>D15*N15</f>
        <v>36500</v>
      </c>
      <c r="K15" s="24" t="s">
        <v>195</v>
      </c>
      <c r="L15" s="22">
        <f t="shared" ref="L15" si="9">L12</f>
        <v>2750</v>
      </c>
      <c r="M15" s="22">
        <f t="shared" ref="M15:R15" si="10">M12</f>
        <v>3650</v>
      </c>
      <c r="N15" s="22">
        <f t="shared" si="10"/>
        <v>3650</v>
      </c>
      <c r="O15" s="22">
        <f t="shared" si="10"/>
        <v>3950</v>
      </c>
      <c r="P15" s="22">
        <f t="shared" si="10"/>
        <v>4750</v>
      </c>
      <c r="Q15" s="22">
        <f t="shared" si="10"/>
        <v>4950</v>
      </c>
      <c r="R15" s="22">
        <f t="shared" si="10"/>
        <v>4950</v>
      </c>
    </row>
    <row r="16" s="17" customFormat="1" spans="1:19">
      <c r="A16" s="22" t="s">
        <v>42</v>
      </c>
      <c r="B16" s="22" t="s">
        <v>0</v>
      </c>
      <c r="C16" s="22" t="s">
        <v>42</v>
      </c>
      <c r="D16" s="22">
        <v>10</v>
      </c>
      <c r="E16" s="22" t="s">
        <v>197</v>
      </c>
      <c r="F16" s="23" t="s">
        <v>45</v>
      </c>
      <c r="G16" s="25" t="s">
        <v>198</v>
      </c>
      <c r="H16" s="22" t="s">
        <v>112</v>
      </c>
      <c r="I16" s="22" t="s">
        <v>199</v>
      </c>
      <c r="J16" s="24">
        <f>D16*P16</f>
        <v>33500</v>
      </c>
      <c r="K16" s="24" t="s">
        <v>195</v>
      </c>
      <c r="L16" s="22">
        <f>L10</f>
        <v>1850</v>
      </c>
      <c r="M16" s="22">
        <f t="shared" ref="M16:R16" si="11">M10</f>
        <v>2400</v>
      </c>
      <c r="N16" s="22">
        <f t="shared" si="11"/>
        <v>2400</v>
      </c>
      <c r="O16" s="22">
        <f t="shared" si="11"/>
        <v>2600</v>
      </c>
      <c r="P16" s="22">
        <f t="shared" si="11"/>
        <v>3350</v>
      </c>
      <c r="Q16" s="22">
        <f t="shared" si="11"/>
        <v>3450</v>
      </c>
      <c r="R16" s="22">
        <f t="shared" si="11"/>
        <v>3450</v>
      </c>
    </row>
    <row r="17" s="17" customFormat="1" spans="1:18">
      <c r="A17" s="22" t="s">
        <v>42</v>
      </c>
      <c r="B17" s="22" t="s">
        <v>0</v>
      </c>
      <c r="C17" s="22" t="s">
        <v>42</v>
      </c>
      <c r="D17" s="22">
        <v>10</v>
      </c>
      <c r="E17" s="22" t="s">
        <v>197</v>
      </c>
      <c r="F17" s="23" t="s">
        <v>61</v>
      </c>
      <c r="G17" s="25" t="s">
        <v>200</v>
      </c>
      <c r="H17" s="22" t="s">
        <v>112</v>
      </c>
      <c r="I17" s="22" t="s">
        <v>199</v>
      </c>
      <c r="J17" s="24">
        <f>D17*Q17</f>
        <v>49500</v>
      </c>
      <c r="K17" s="24" t="s">
        <v>195</v>
      </c>
      <c r="L17" s="22">
        <f>L12</f>
        <v>2750</v>
      </c>
      <c r="M17" s="22">
        <f t="shared" ref="M17:R17" si="12">M12</f>
        <v>3650</v>
      </c>
      <c r="N17" s="22">
        <f t="shared" si="12"/>
        <v>3650</v>
      </c>
      <c r="O17" s="22">
        <f t="shared" si="12"/>
        <v>3950</v>
      </c>
      <c r="P17" s="22">
        <f t="shared" si="12"/>
        <v>4750</v>
      </c>
      <c r="Q17" s="22">
        <f t="shared" si="12"/>
        <v>4950</v>
      </c>
      <c r="R17" s="22">
        <f t="shared" si="12"/>
        <v>4950</v>
      </c>
    </row>
    <row r="18" s="17" customFormat="1" spans="1:18">
      <c r="A18" s="22" t="s">
        <v>42</v>
      </c>
      <c r="B18" s="22" t="s">
        <v>0</v>
      </c>
      <c r="C18" s="22" t="s">
        <v>42</v>
      </c>
      <c r="D18" s="22">
        <v>10</v>
      </c>
      <c r="E18" s="22" t="s">
        <v>197</v>
      </c>
      <c r="F18" s="23" t="s">
        <v>193</v>
      </c>
      <c r="G18" s="25" t="s">
        <v>198</v>
      </c>
      <c r="H18" s="22" t="s">
        <v>112</v>
      </c>
      <c r="I18" s="22" t="s">
        <v>199</v>
      </c>
      <c r="J18" s="24">
        <f>D18*R18</f>
        <v>34500</v>
      </c>
      <c r="K18" s="24" t="s">
        <v>195</v>
      </c>
      <c r="L18" s="22">
        <f>L10</f>
        <v>1850</v>
      </c>
      <c r="M18" s="22">
        <f t="shared" ref="M18:R18" si="13">M10</f>
        <v>2400</v>
      </c>
      <c r="N18" s="22">
        <f t="shared" si="13"/>
        <v>2400</v>
      </c>
      <c r="O18" s="22">
        <f t="shared" si="13"/>
        <v>2600</v>
      </c>
      <c r="P18" s="22">
        <f t="shared" si="13"/>
        <v>3350</v>
      </c>
      <c r="Q18" s="22">
        <f t="shared" si="13"/>
        <v>3450</v>
      </c>
      <c r="R18" s="22">
        <f t="shared" si="13"/>
        <v>3450</v>
      </c>
    </row>
    <row r="19" spans="1:18">
      <c r="A19" s="10" t="s">
        <v>42</v>
      </c>
      <c r="B19" s="10" t="s">
        <v>42</v>
      </c>
      <c r="C19" s="10" t="s">
        <v>0</v>
      </c>
      <c r="D19" s="10">
        <v>10</v>
      </c>
      <c r="E19" s="10" t="s">
        <v>197</v>
      </c>
      <c r="F19" s="16" t="s">
        <v>192</v>
      </c>
      <c r="G19" s="16" t="s">
        <v>198</v>
      </c>
      <c r="H19" s="10" t="s">
        <v>112</v>
      </c>
      <c r="I19" s="10" t="s">
        <v>199</v>
      </c>
      <c r="J19" s="21">
        <f>D19*O19</f>
        <v>26000</v>
      </c>
      <c r="K19" s="21" t="s">
        <v>195</v>
      </c>
      <c r="L19" s="10">
        <f>L17</f>
        <v>2750</v>
      </c>
      <c r="M19" s="10">
        <f>M5</f>
        <v>2400</v>
      </c>
      <c r="N19" s="10">
        <f t="shared" ref="N19:R19" si="14">N5</f>
        <v>2400</v>
      </c>
      <c r="O19" s="10">
        <f t="shared" si="14"/>
        <v>2600</v>
      </c>
      <c r="P19" s="10">
        <f t="shared" si="14"/>
        <v>3350</v>
      </c>
      <c r="Q19" s="10">
        <f t="shared" si="14"/>
        <v>3450</v>
      </c>
      <c r="R19" s="10">
        <f t="shared" si="14"/>
        <v>3450</v>
      </c>
    </row>
    <row r="20" spans="1:18">
      <c r="A20" s="10" t="s">
        <v>42</v>
      </c>
      <c r="B20" s="10" t="s">
        <v>42</v>
      </c>
      <c r="C20" s="10" t="s">
        <v>0</v>
      </c>
      <c r="D20" s="10">
        <v>10</v>
      </c>
      <c r="E20" s="10" t="s">
        <v>197</v>
      </c>
      <c r="F20" s="16" t="s">
        <v>189</v>
      </c>
      <c r="G20" s="16" t="s">
        <v>198</v>
      </c>
      <c r="H20" s="10" t="s">
        <v>112</v>
      </c>
      <c r="I20" s="10" t="s">
        <v>199</v>
      </c>
      <c r="J20" s="21">
        <f>D20*L20</f>
        <v>27500</v>
      </c>
      <c r="K20" s="21" t="s">
        <v>195</v>
      </c>
      <c r="L20" s="10">
        <f t="shared" ref="L20" si="15">L17</f>
        <v>2750</v>
      </c>
      <c r="M20" s="10">
        <f>M6</f>
        <v>2400</v>
      </c>
      <c r="N20" s="10">
        <f t="shared" ref="N20:R20" si="16">N6</f>
        <v>2400</v>
      </c>
      <c r="O20" s="10">
        <f t="shared" si="16"/>
        <v>2600</v>
      </c>
      <c r="P20" s="10">
        <f t="shared" si="16"/>
        <v>3350</v>
      </c>
      <c r="Q20" s="10">
        <f t="shared" si="16"/>
        <v>3450</v>
      </c>
      <c r="R20" s="10">
        <f t="shared" si="16"/>
        <v>3450</v>
      </c>
    </row>
    <row r="21" spans="1:18">
      <c r="A21" s="10" t="s">
        <v>42</v>
      </c>
      <c r="B21" s="10" t="s">
        <v>42</v>
      </c>
      <c r="C21" s="10" t="s">
        <v>0</v>
      </c>
      <c r="D21" s="10">
        <v>10</v>
      </c>
      <c r="E21" s="10" t="s">
        <v>197</v>
      </c>
      <c r="F21" s="16" t="s">
        <v>190</v>
      </c>
      <c r="G21" s="16" t="s">
        <v>200</v>
      </c>
      <c r="H21" s="10" t="s">
        <v>112</v>
      </c>
      <c r="I21" s="10" t="s">
        <v>199</v>
      </c>
      <c r="J21" s="21">
        <f>D21*M21</f>
        <v>36500</v>
      </c>
      <c r="K21" s="21" t="s">
        <v>195</v>
      </c>
      <c r="L21" s="10">
        <f t="shared" ref="L21" si="17">L18</f>
        <v>1850</v>
      </c>
      <c r="M21" s="10">
        <f>M7</f>
        <v>3650</v>
      </c>
      <c r="N21" s="10">
        <f t="shared" ref="N21:R21" si="18">N7</f>
        <v>3650</v>
      </c>
      <c r="O21" s="10">
        <f t="shared" si="18"/>
        <v>3950</v>
      </c>
      <c r="P21" s="10">
        <f t="shared" si="18"/>
        <v>4750</v>
      </c>
      <c r="Q21" s="10">
        <f t="shared" si="18"/>
        <v>4950</v>
      </c>
      <c r="R21" s="10">
        <f t="shared" si="18"/>
        <v>4950</v>
      </c>
    </row>
    <row r="22" spans="1:18">
      <c r="A22" s="10" t="s">
        <v>42</v>
      </c>
      <c r="B22" s="10" t="s">
        <v>42</v>
      </c>
      <c r="C22" s="10" t="s">
        <v>0</v>
      </c>
      <c r="D22" s="10">
        <v>10</v>
      </c>
      <c r="E22" s="10" t="s">
        <v>197</v>
      </c>
      <c r="F22" s="16" t="s">
        <v>191</v>
      </c>
      <c r="G22" s="16" t="s">
        <v>198</v>
      </c>
      <c r="H22" s="10" t="s">
        <v>112</v>
      </c>
      <c r="I22" s="10" t="s">
        <v>199</v>
      </c>
      <c r="J22" s="21">
        <f>D22*N22</f>
        <v>24000</v>
      </c>
      <c r="K22" s="21" t="s">
        <v>195</v>
      </c>
      <c r="L22" s="10">
        <f t="shared" ref="L22" si="19">L19</f>
        <v>2750</v>
      </c>
      <c r="M22" s="10">
        <f t="shared" ref="M22:R32" si="20">M8</f>
        <v>2400</v>
      </c>
      <c r="N22" s="10">
        <f t="shared" si="20"/>
        <v>2400</v>
      </c>
      <c r="O22" s="10">
        <f t="shared" si="20"/>
        <v>2600</v>
      </c>
      <c r="P22" s="10">
        <f t="shared" si="20"/>
        <v>3350</v>
      </c>
      <c r="Q22" s="10">
        <f t="shared" si="20"/>
        <v>3450</v>
      </c>
      <c r="R22" s="10">
        <f t="shared" si="20"/>
        <v>3450</v>
      </c>
    </row>
    <row r="23" spans="1:18">
      <c r="A23" s="10" t="s">
        <v>42</v>
      </c>
      <c r="B23" s="10" t="s">
        <v>42</v>
      </c>
      <c r="C23" s="10" t="s">
        <v>0</v>
      </c>
      <c r="D23" s="10">
        <v>10</v>
      </c>
      <c r="E23" s="10" t="s">
        <v>197</v>
      </c>
      <c r="F23" s="16" t="s">
        <v>45</v>
      </c>
      <c r="G23" s="16" t="s">
        <v>200</v>
      </c>
      <c r="H23" s="10" t="s">
        <v>112</v>
      </c>
      <c r="I23" s="10" t="s">
        <v>199</v>
      </c>
      <c r="J23" s="21">
        <f>D23*P23</f>
        <v>47500</v>
      </c>
      <c r="K23" s="21" t="s">
        <v>195</v>
      </c>
      <c r="L23" s="10">
        <f>L18</f>
        <v>1850</v>
      </c>
      <c r="M23" s="10">
        <f t="shared" si="20"/>
        <v>3650</v>
      </c>
      <c r="N23" s="10">
        <f t="shared" si="20"/>
        <v>3650</v>
      </c>
      <c r="O23" s="10">
        <f t="shared" si="20"/>
        <v>3950</v>
      </c>
      <c r="P23" s="10">
        <f t="shared" si="20"/>
        <v>4750</v>
      </c>
      <c r="Q23" s="10">
        <f t="shared" si="20"/>
        <v>4950</v>
      </c>
      <c r="R23" s="10">
        <f t="shared" si="20"/>
        <v>4950</v>
      </c>
    </row>
    <row r="24" spans="1:18">
      <c r="A24" s="10" t="s">
        <v>42</v>
      </c>
      <c r="B24" s="10" t="s">
        <v>42</v>
      </c>
      <c r="C24" s="10" t="s">
        <v>0</v>
      </c>
      <c r="D24" s="10">
        <v>10</v>
      </c>
      <c r="E24" s="10" t="s">
        <v>197</v>
      </c>
      <c r="F24" s="16" t="s">
        <v>61</v>
      </c>
      <c r="G24" s="16" t="s">
        <v>198</v>
      </c>
      <c r="H24" s="10" t="s">
        <v>112</v>
      </c>
      <c r="I24" s="10" t="s">
        <v>199</v>
      </c>
      <c r="J24" s="21">
        <f>D24*Q24</f>
        <v>34500</v>
      </c>
      <c r="K24" s="21" t="s">
        <v>195</v>
      </c>
      <c r="L24" s="10">
        <f>L19</f>
        <v>2750</v>
      </c>
      <c r="M24" s="10">
        <f t="shared" si="20"/>
        <v>2400</v>
      </c>
      <c r="N24" s="10">
        <f t="shared" si="20"/>
        <v>2400</v>
      </c>
      <c r="O24" s="10">
        <f t="shared" si="20"/>
        <v>2600</v>
      </c>
      <c r="P24" s="10">
        <f t="shared" si="20"/>
        <v>3350</v>
      </c>
      <c r="Q24" s="10">
        <f t="shared" si="20"/>
        <v>3450</v>
      </c>
      <c r="R24" s="10">
        <f t="shared" si="20"/>
        <v>3450</v>
      </c>
    </row>
    <row r="25" spans="1:18">
      <c r="A25" s="10" t="s">
        <v>42</v>
      </c>
      <c r="B25" s="10" t="s">
        <v>42</v>
      </c>
      <c r="C25" s="10" t="s">
        <v>0</v>
      </c>
      <c r="D25" s="10">
        <v>10</v>
      </c>
      <c r="E25" s="10" t="s">
        <v>197</v>
      </c>
      <c r="F25" s="16" t="s">
        <v>193</v>
      </c>
      <c r="G25" s="16" t="s">
        <v>200</v>
      </c>
      <c r="H25" s="10" t="s">
        <v>112</v>
      </c>
      <c r="I25" s="10" t="s">
        <v>199</v>
      </c>
      <c r="J25" s="21">
        <f>D25*R25</f>
        <v>49500</v>
      </c>
      <c r="K25" s="21" t="s">
        <v>195</v>
      </c>
      <c r="L25" s="10">
        <f>L18</f>
        <v>1850</v>
      </c>
      <c r="M25" s="10">
        <f t="shared" si="20"/>
        <v>3650</v>
      </c>
      <c r="N25" s="10">
        <f t="shared" si="20"/>
        <v>3650</v>
      </c>
      <c r="O25" s="10">
        <f t="shared" si="20"/>
        <v>3950</v>
      </c>
      <c r="P25" s="10">
        <f t="shared" si="20"/>
        <v>4750</v>
      </c>
      <c r="Q25" s="10">
        <f t="shared" si="20"/>
        <v>4950</v>
      </c>
      <c r="R25" s="10">
        <f t="shared" si="20"/>
        <v>4950</v>
      </c>
    </row>
    <row r="26" spans="1:18">
      <c r="A26" s="22" t="s">
        <v>42</v>
      </c>
      <c r="B26" s="22" t="s">
        <v>42</v>
      </c>
      <c r="C26" s="22" t="s">
        <v>0</v>
      </c>
      <c r="D26" s="22">
        <v>10</v>
      </c>
      <c r="E26" s="22" t="s">
        <v>197</v>
      </c>
      <c r="F26" s="23" t="s">
        <v>192</v>
      </c>
      <c r="G26" s="23" t="s">
        <v>200</v>
      </c>
      <c r="H26" s="22" t="s">
        <v>112</v>
      </c>
      <c r="I26" s="22" t="s">
        <v>199</v>
      </c>
      <c r="J26" s="24">
        <f>D26*O26</f>
        <v>39500</v>
      </c>
      <c r="K26" s="24" t="s">
        <v>195</v>
      </c>
      <c r="L26" s="22">
        <f>L25</f>
        <v>1850</v>
      </c>
      <c r="M26" s="10">
        <f t="shared" si="20"/>
        <v>3650</v>
      </c>
      <c r="N26" s="10">
        <f t="shared" si="20"/>
        <v>3650</v>
      </c>
      <c r="O26" s="10">
        <f t="shared" si="20"/>
        <v>3950</v>
      </c>
      <c r="P26" s="10">
        <f t="shared" si="20"/>
        <v>4750</v>
      </c>
      <c r="Q26" s="10">
        <f t="shared" si="20"/>
        <v>4950</v>
      </c>
      <c r="R26" s="10">
        <f t="shared" si="20"/>
        <v>4950</v>
      </c>
    </row>
    <row r="27" spans="1:18">
      <c r="A27" s="22" t="s">
        <v>42</v>
      </c>
      <c r="B27" s="22" t="s">
        <v>42</v>
      </c>
      <c r="C27" s="22" t="s">
        <v>0</v>
      </c>
      <c r="D27" s="22">
        <v>10</v>
      </c>
      <c r="E27" s="22" t="s">
        <v>197</v>
      </c>
      <c r="F27" s="23" t="s">
        <v>189</v>
      </c>
      <c r="G27" s="23" t="s">
        <v>200</v>
      </c>
      <c r="H27" s="22" t="s">
        <v>112</v>
      </c>
      <c r="I27" s="22" t="s">
        <v>199</v>
      </c>
      <c r="J27" s="24">
        <f>D27*L27</f>
        <v>18500</v>
      </c>
      <c r="K27" s="24" t="s">
        <v>195</v>
      </c>
      <c r="L27" s="22">
        <f>L26</f>
        <v>1850</v>
      </c>
      <c r="M27" s="10">
        <f t="shared" si="20"/>
        <v>3650</v>
      </c>
      <c r="N27" s="10">
        <f t="shared" si="20"/>
        <v>3650</v>
      </c>
      <c r="O27" s="10">
        <f t="shared" si="20"/>
        <v>3950</v>
      </c>
      <c r="P27" s="10">
        <f t="shared" si="20"/>
        <v>4750</v>
      </c>
      <c r="Q27" s="10">
        <f t="shared" si="20"/>
        <v>4950</v>
      </c>
      <c r="R27" s="10">
        <f t="shared" si="20"/>
        <v>4950</v>
      </c>
    </row>
    <row r="28" spans="1:18">
      <c r="A28" s="22" t="s">
        <v>42</v>
      </c>
      <c r="B28" s="22" t="s">
        <v>42</v>
      </c>
      <c r="C28" s="22" t="s">
        <v>0</v>
      </c>
      <c r="D28" s="22">
        <v>10</v>
      </c>
      <c r="E28" s="22" t="s">
        <v>197</v>
      </c>
      <c r="F28" s="23" t="s">
        <v>190</v>
      </c>
      <c r="G28" s="25" t="s">
        <v>198</v>
      </c>
      <c r="H28" s="22" t="s">
        <v>112</v>
      </c>
      <c r="I28" s="22" t="s">
        <v>199</v>
      </c>
      <c r="J28" s="24">
        <f>D28*M28</f>
        <v>24000</v>
      </c>
      <c r="K28" s="24" t="s">
        <v>195</v>
      </c>
      <c r="L28" s="22">
        <f>L24</f>
        <v>2750</v>
      </c>
      <c r="M28" s="10">
        <f t="shared" si="20"/>
        <v>2400</v>
      </c>
      <c r="N28" s="10">
        <f t="shared" si="20"/>
        <v>2400</v>
      </c>
      <c r="O28" s="10">
        <f t="shared" si="20"/>
        <v>2600</v>
      </c>
      <c r="P28" s="10">
        <f t="shared" si="20"/>
        <v>3350</v>
      </c>
      <c r="Q28" s="10">
        <f t="shared" si="20"/>
        <v>3450</v>
      </c>
      <c r="R28" s="10">
        <f t="shared" si="20"/>
        <v>3450</v>
      </c>
    </row>
    <row r="29" spans="1:18">
      <c r="A29" s="22" t="s">
        <v>42</v>
      </c>
      <c r="B29" s="22" t="s">
        <v>42</v>
      </c>
      <c r="C29" s="22" t="s">
        <v>0</v>
      </c>
      <c r="D29" s="22">
        <v>10</v>
      </c>
      <c r="E29" s="22" t="s">
        <v>197</v>
      </c>
      <c r="F29" s="23" t="s">
        <v>191</v>
      </c>
      <c r="G29" s="25" t="s">
        <v>200</v>
      </c>
      <c r="H29" s="22" t="s">
        <v>112</v>
      </c>
      <c r="I29" s="22" t="s">
        <v>199</v>
      </c>
      <c r="J29" s="24">
        <f>D29*N29</f>
        <v>36500</v>
      </c>
      <c r="K29" s="24" t="s">
        <v>195</v>
      </c>
      <c r="L29" s="22">
        <f t="shared" ref="L29" si="21">L26</f>
        <v>1850</v>
      </c>
      <c r="M29" s="10">
        <f t="shared" si="20"/>
        <v>3650</v>
      </c>
      <c r="N29" s="10">
        <f t="shared" si="20"/>
        <v>3650</v>
      </c>
      <c r="O29" s="10">
        <f t="shared" si="20"/>
        <v>3950</v>
      </c>
      <c r="P29" s="10">
        <f t="shared" si="20"/>
        <v>4750</v>
      </c>
      <c r="Q29" s="10">
        <f t="shared" si="20"/>
        <v>4950</v>
      </c>
      <c r="R29" s="10">
        <f t="shared" si="20"/>
        <v>4950</v>
      </c>
    </row>
    <row r="30" spans="1:18">
      <c r="A30" s="22" t="s">
        <v>42</v>
      </c>
      <c r="B30" s="22" t="s">
        <v>42</v>
      </c>
      <c r="C30" s="22" t="s">
        <v>0</v>
      </c>
      <c r="D30" s="22">
        <v>10</v>
      </c>
      <c r="E30" s="22" t="s">
        <v>197</v>
      </c>
      <c r="F30" s="23" t="s">
        <v>45</v>
      </c>
      <c r="G30" s="25" t="s">
        <v>198</v>
      </c>
      <c r="H30" s="22" t="s">
        <v>112</v>
      </c>
      <c r="I30" s="22" t="s">
        <v>199</v>
      </c>
      <c r="J30" s="24">
        <f>D30*P30</f>
        <v>33500</v>
      </c>
      <c r="K30" s="24" t="s">
        <v>195</v>
      </c>
      <c r="L30" s="22">
        <f>L24</f>
        <v>2750</v>
      </c>
      <c r="M30" s="10">
        <f t="shared" si="20"/>
        <v>2400</v>
      </c>
      <c r="N30" s="10">
        <f t="shared" si="20"/>
        <v>2400</v>
      </c>
      <c r="O30" s="10">
        <f t="shared" si="20"/>
        <v>2600</v>
      </c>
      <c r="P30" s="10">
        <f t="shared" si="20"/>
        <v>3350</v>
      </c>
      <c r="Q30" s="10">
        <f t="shared" si="20"/>
        <v>3450</v>
      </c>
      <c r="R30" s="10">
        <f t="shared" si="20"/>
        <v>3450</v>
      </c>
    </row>
    <row r="31" spans="1:18">
      <c r="A31" s="22" t="s">
        <v>42</v>
      </c>
      <c r="B31" s="22" t="s">
        <v>42</v>
      </c>
      <c r="C31" s="22" t="s">
        <v>0</v>
      </c>
      <c r="D31" s="22">
        <v>10</v>
      </c>
      <c r="E31" s="22" t="s">
        <v>197</v>
      </c>
      <c r="F31" s="23" t="s">
        <v>61</v>
      </c>
      <c r="G31" s="25" t="s">
        <v>200</v>
      </c>
      <c r="H31" s="22" t="s">
        <v>112</v>
      </c>
      <c r="I31" s="22" t="s">
        <v>199</v>
      </c>
      <c r="J31" s="24">
        <f>D31*Q31</f>
        <v>49500</v>
      </c>
      <c r="K31" s="24" t="s">
        <v>195</v>
      </c>
      <c r="L31" s="22">
        <f>L26</f>
        <v>1850</v>
      </c>
      <c r="M31" s="10">
        <f t="shared" si="20"/>
        <v>3650</v>
      </c>
      <c r="N31" s="10">
        <f t="shared" si="20"/>
        <v>3650</v>
      </c>
      <c r="O31" s="10">
        <f t="shared" si="20"/>
        <v>3950</v>
      </c>
      <c r="P31" s="10">
        <f t="shared" si="20"/>
        <v>4750</v>
      </c>
      <c r="Q31" s="10">
        <f t="shared" si="20"/>
        <v>4950</v>
      </c>
      <c r="R31" s="10">
        <f t="shared" si="20"/>
        <v>4950</v>
      </c>
    </row>
    <row r="32" spans="1:18">
      <c r="A32" s="22" t="s">
        <v>42</v>
      </c>
      <c r="B32" s="22" t="s">
        <v>42</v>
      </c>
      <c r="C32" s="22" t="s">
        <v>0</v>
      </c>
      <c r="D32" s="22">
        <v>10</v>
      </c>
      <c r="E32" s="22" t="s">
        <v>197</v>
      </c>
      <c r="F32" s="23" t="s">
        <v>193</v>
      </c>
      <c r="G32" s="25" t="s">
        <v>198</v>
      </c>
      <c r="H32" s="22" t="s">
        <v>112</v>
      </c>
      <c r="I32" s="22" t="s">
        <v>199</v>
      </c>
      <c r="J32" s="24">
        <f>D32*R32</f>
        <v>34500</v>
      </c>
      <c r="K32" s="24" t="s">
        <v>195</v>
      </c>
      <c r="L32" s="22">
        <f>L24</f>
        <v>2750</v>
      </c>
      <c r="M32" s="10">
        <f t="shared" si="20"/>
        <v>2400</v>
      </c>
      <c r="N32" s="10">
        <f t="shared" si="20"/>
        <v>2400</v>
      </c>
      <c r="O32" s="10">
        <f t="shared" si="20"/>
        <v>2600</v>
      </c>
      <c r="P32" s="10">
        <f t="shared" si="20"/>
        <v>3350</v>
      </c>
      <c r="Q32" s="10">
        <f t="shared" si="20"/>
        <v>3450</v>
      </c>
      <c r="R32" s="10">
        <f t="shared" si="20"/>
        <v>3450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workbookViewId="0">
      <pane xSplit="10" ySplit="3" topLeftCell="K4" activePane="bottomRight" state="frozen"/>
      <selection/>
      <selection pane="topRight"/>
      <selection pane="bottomLeft"/>
      <selection pane="bottomRight" activeCell="A5" sqref="$A5:$XFD5"/>
    </sheetView>
  </sheetViews>
  <sheetFormatPr defaultColWidth="8.66666666666667" defaultRowHeight="14" outlineLevelRow="6"/>
  <cols>
    <col min="1" max="1" width="8.83333333333333" style="2" customWidth="1"/>
    <col min="2" max="2" width="6.5" style="2" customWidth="1"/>
    <col min="3" max="3" width="7.66666666666667" style="2" customWidth="1"/>
    <col min="4" max="4" width="10" style="2" customWidth="1"/>
    <col min="5" max="5" width="11.3333333333333" style="2" customWidth="1"/>
    <col min="6" max="7" width="9.75" style="2" customWidth="1"/>
    <col min="8" max="8" width="9.58333333333333" style="2" customWidth="1"/>
    <col min="9" max="9" width="4.91666666666667" style="2" customWidth="1"/>
    <col min="10" max="10" width="11.0833333333333" style="3" customWidth="1"/>
    <col min="11" max="11" width="7.66666666666667" style="2" customWidth="1"/>
    <col min="12" max="12" width="21.25" style="4" customWidth="1"/>
    <col min="13" max="13" width="21.25" style="2" customWidth="1"/>
    <col min="14" max="14" width="17.25" style="2" customWidth="1"/>
    <col min="15" max="15" width="15.5833333333333" style="2" customWidth="1"/>
    <col min="16" max="16" width="26.8333333333333" style="2" customWidth="1"/>
    <col min="17" max="17" width="26.5833333333333" style="2" customWidth="1"/>
    <col min="18" max="18" width="17.3333333333333" style="2" customWidth="1"/>
    <col min="19" max="20" width="12.5" style="2" customWidth="1"/>
    <col min="21" max="21" width="14.75" style="2" customWidth="1"/>
    <col min="22" max="22" width="16.75" style="2" customWidth="1"/>
    <col min="23" max="23" width="28.8333333333333" style="2" customWidth="1"/>
    <col min="24" max="24" width="19.5833333333333" style="2" customWidth="1"/>
    <col min="25" max="16384" width="8.66666666666667" style="2"/>
  </cols>
  <sheetData>
    <row r="1" spans="1:24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</row>
    <row r="2" s="1" customFormat="1" ht="42" spans="1:24">
      <c r="A2" s="5" t="s">
        <v>9</v>
      </c>
      <c r="B2" s="5" t="s">
        <v>10</v>
      </c>
      <c r="C2" s="5" t="s">
        <v>11</v>
      </c>
      <c r="D2" s="5" t="s">
        <v>17</v>
      </c>
      <c r="E2" s="5" t="s">
        <v>201</v>
      </c>
      <c r="F2" s="5" t="s">
        <v>202</v>
      </c>
      <c r="G2" s="6" t="s">
        <v>203</v>
      </c>
      <c r="H2" s="5" t="s">
        <v>204</v>
      </c>
      <c r="I2" s="5" t="s">
        <v>14</v>
      </c>
      <c r="J2" s="7" t="s">
        <v>205</v>
      </c>
      <c r="K2" s="8" t="s">
        <v>206</v>
      </c>
      <c r="L2" s="8" t="s">
        <v>207</v>
      </c>
      <c r="M2" s="5" t="s">
        <v>208</v>
      </c>
      <c r="N2" s="5" t="s">
        <v>209</v>
      </c>
      <c r="O2" s="5" t="s">
        <v>210</v>
      </c>
      <c r="P2" s="5" t="s">
        <v>211</v>
      </c>
      <c r="Q2" s="5" t="s">
        <v>212</v>
      </c>
      <c r="R2" s="5" t="s">
        <v>213</v>
      </c>
      <c r="S2" s="5" t="s">
        <v>214</v>
      </c>
      <c r="T2" s="5" t="s">
        <v>215</v>
      </c>
      <c r="U2" s="5" t="s">
        <v>216</v>
      </c>
      <c r="V2" s="5" t="s">
        <v>217</v>
      </c>
      <c r="W2" s="5" t="s">
        <v>218</v>
      </c>
      <c r="X2" s="5" t="s">
        <v>219</v>
      </c>
    </row>
    <row r="3" s="1" customFormat="1" spans="1:24">
      <c r="A3" s="5" t="s">
        <v>49</v>
      </c>
      <c r="B3" s="5"/>
      <c r="C3" s="5"/>
      <c r="D3" s="5"/>
      <c r="E3" s="5"/>
      <c r="F3" s="5"/>
      <c r="G3" s="5"/>
      <c r="H3" s="5"/>
      <c r="I3" s="5"/>
      <c r="J3" s="9"/>
      <c r="K3" s="8"/>
      <c r="L3" s="8"/>
      <c r="M3" s="8" t="s">
        <v>220</v>
      </c>
      <c r="N3" s="5" t="s">
        <v>221</v>
      </c>
      <c r="O3" s="5" t="s">
        <v>222</v>
      </c>
      <c r="P3" s="5" t="s">
        <v>223</v>
      </c>
      <c r="Q3" s="5" t="s">
        <v>223</v>
      </c>
      <c r="R3" s="5" t="s">
        <v>224</v>
      </c>
      <c r="S3" s="5" t="s">
        <v>225</v>
      </c>
      <c r="T3" s="5" t="s">
        <v>225</v>
      </c>
      <c r="U3" s="5" t="s">
        <v>226</v>
      </c>
      <c r="V3" s="5" t="s">
        <v>227</v>
      </c>
      <c r="W3" s="5" t="s">
        <v>228</v>
      </c>
      <c r="X3" s="5" t="s">
        <v>229</v>
      </c>
    </row>
    <row r="4" spans="1:24">
      <c r="A4" s="10" t="s">
        <v>42</v>
      </c>
      <c r="B4" s="11" t="s">
        <v>0</v>
      </c>
      <c r="C4" s="11" t="s">
        <v>6</v>
      </c>
      <c r="D4" s="10" t="s">
        <v>230</v>
      </c>
      <c r="E4" s="10">
        <v>8</v>
      </c>
      <c r="F4" s="10">
        <v>8</v>
      </c>
      <c r="G4" s="10"/>
      <c r="H4" s="10">
        <v>300</v>
      </c>
      <c r="I4" s="10">
        <v>428.4</v>
      </c>
      <c r="J4" s="12">
        <f>(SUM(P4:V4)+K4*O4)*1.1</f>
        <v>348080.04</v>
      </c>
      <c r="K4" s="13">
        <v>9</v>
      </c>
      <c r="L4" s="14">
        <v>25888195.7783333</v>
      </c>
      <c r="M4" s="13"/>
      <c r="N4" s="13"/>
      <c r="O4" s="10">
        <f>I4*2.3*30</f>
        <v>29559.6</v>
      </c>
      <c r="P4" s="10">
        <f>350*E4</f>
        <v>2800</v>
      </c>
      <c r="Q4" s="10">
        <f>350*F4</f>
        <v>2800</v>
      </c>
      <c r="R4" s="10">
        <f>30*H4</f>
        <v>9000</v>
      </c>
      <c r="S4" s="10">
        <f>25*H4</f>
        <v>7500</v>
      </c>
      <c r="T4" s="10">
        <f>25*H4</f>
        <v>7500</v>
      </c>
      <c r="U4" s="10">
        <f>900*E4</f>
        <v>7200</v>
      </c>
      <c r="V4" s="10">
        <f>1700*F4</f>
        <v>13600</v>
      </c>
      <c r="W4" s="10"/>
      <c r="X4" s="10"/>
    </row>
    <row r="5" spans="1:24">
      <c r="A5" s="10" t="s">
        <v>231</v>
      </c>
      <c r="B5" s="10" t="s">
        <v>0</v>
      </c>
      <c r="C5" s="10" t="s">
        <v>6</v>
      </c>
      <c r="D5" s="10" t="s">
        <v>230</v>
      </c>
      <c r="E5" s="10">
        <v>8</v>
      </c>
      <c r="F5" s="10">
        <v>8</v>
      </c>
      <c r="G5" s="10"/>
      <c r="H5" s="10">
        <v>300</v>
      </c>
      <c r="I5" s="10">
        <v>428.4</v>
      </c>
      <c r="J5" s="12">
        <f>(SUM(P5:X5)+K5*O5)*1.1</f>
        <v>547419.147493166</v>
      </c>
      <c r="K5" s="13">
        <v>9</v>
      </c>
      <c r="L5" s="14">
        <v>25888195.7783333</v>
      </c>
      <c r="M5" s="13"/>
      <c r="N5" s="13"/>
      <c r="O5" s="10">
        <f>I5*2.3*30</f>
        <v>29559.6</v>
      </c>
      <c r="P5" s="10">
        <f>350*E5</f>
        <v>2800</v>
      </c>
      <c r="Q5" s="10">
        <f>350*F5</f>
        <v>2800</v>
      </c>
      <c r="R5" s="10">
        <f>30*H5</f>
        <v>9000</v>
      </c>
      <c r="S5" s="10">
        <f>25*H5</f>
        <v>7500</v>
      </c>
      <c r="T5" s="10">
        <f>25*H5</f>
        <v>7500</v>
      </c>
      <c r="U5" s="10">
        <f>900*E5</f>
        <v>7200</v>
      </c>
      <c r="V5" s="10">
        <f>1700*F5</f>
        <v>13600</v>
      </c>
      <c r="W5" s="10">
        <f>0.001*L5</f>
        <v>25888.1957783333</v>
      </c>
      <c r="X5" s="10">
        <f>0.006*L5</f>
        <v>155329.17467</v>
      </c>
    </row>
    <row r="6" spans="1:24">
      <c r="A6" s="10" t="s">
        <v>42</v>
      </c>
      <c r="B6" s="11" t="s">
        <v>7</v>
      </c>
      <c r="C6" s="10" t="s">
        <v>8</v>
      </c>
      <c r="D6" s="10" t="s">
        <v>230</v>
      </c>
      <c r="E6" s="10"/>
      <c r="F6" s="10"/>
      <c r="G6" s="11" t="s">
        <v>232</v>
      </c>
      <c r="H6" s="10"/>
      <c r="I6" s="10"/>
      <c r="J6" s="12">
        <f>M6*K6</f>
        <v>65000</v>
      </c>
      <c r="K6" s="13">
        <v>1</v>
      </c>
      <c r="L6" s="14"/>
      <c r="M6" s="13">
        <f>65000</f>
        <v>65000</v>
      </c>
      <c r="N6" s="13"/>
      <c r="O6" s="15"/>
      <c r="P6" s="15"/>
      <c r="Q6" s="10"/>
      <c r="R6" s="10"/>
      <c r="S6" s="10"/>
      <c r="T6" s="10"/>
      <c r="U6" s="10"/>
      <c r="V6" s="10"/>
      <c r="W6" s="10"/>
      <c r="X6" s="10"/>
    </row>
    <row r="7" spans="1:24">
      <c r="A7" s="10" t="s">
        <v>42</v>
      </c>
      <c r="B7" s="10" t="s">
        <v>7</v>
      </c>
      <c r="C7" s="11" t="s">
        <v>8</v>
      </c>
      <c r="D7" s="10" t="s">
        <v>230</v>
      </c>
      <c r="E7" s="10"/>
      <c r="F7" s="10"/>
      <c r="G7" s="11" t="s">
        <v>233</v>
      </c>
      <c r="H7" s="16">
        <v>10</v>
      </c>
      <c r="I7" s="10">
        <f>1.2*1*1*H7</f>
        <v>12</v>
      </c>
      <c r="J7" s="12">
        <f>N7*K7</f>
        <v>5760</v>
      </c>
      <c r="K7" s="13">
        <v>2</v>
      </c>
      <c r="L7" s="14"/>
      <c r="M7" s="13"/>
      <c r="N7" s="13">
        <f>60*I7*4</f>
        <v>2880</v>
      </c>
      <c r="O7" s="15"/>
      <c r="P7" s="15"/>
      <c r="Q7" s="10"/>
      <c r="R7" s="10"/>
      <c r="S7" s="10"/>
      <c r="T7" s="10"/>
      <c r="U7" s="10"/>
      <c r="V7" s="10"/>
      <c r="W7" s="10"/>
      <c r="X7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routine</vt:lpstr>
      <vt:lpstr>WAHL-Customer</vt:lpstr>
      <vt:lpstr>VENDOR-WAHL</vt:lpstr>
      <vt:lpstr>WAHL-DGWA</vt:lpstr>
      <vt:lpstr>WAHL WH 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SCM/SHP Dorothy,Li Feng Xian</dc:creator>
  <cp:lastModifiedBy>Daryl Dixon</cp:lastModifiedBy>
  <dcterms:created xsi:type="dcterms:W3CDTF">2025-12-11T07:27:00Z</dcterms:created>
  <dcterms:modified xsi:type="dcterms:W3CDTF">2026-03-30T06:19:39Z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6DA89CB62AC145BEACC67992C22D881E_13</vt:lpwstr>
  </property>
</Properties>
</file>